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RPONOR 2025\Backet\"/>
    </mc:Choice>
  </mc:AlternateContent>
  <xr:revisionPtr revIDLastSave="0" documentId="13_ncr:1_{4EBFD946-4CE7-4849-AC96-8B09E5F607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GISTROS" sheetId="1" r:id="rId1"/>
    <sheet name="DASHBOARD" sheetId="2" r:id="rId2"/>
    <sheet name="CONSULTORIA" sheetId="3" r:id="rId3"/>
    <sheet name="YOGURT" sheetId="4" r:id="rId4"/>
    <sheet name="PERSONAL" sheetId="5" r:id="rId5"/>
    <sheet name="PRESUPUESTO" sheetId="6" r:id="rId6"/>
    <sheet name="MET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6" l="1"/>
  <c r="D9" i="6" s="1"/>
  <c r="C8" i="6"/>
  <c r="D8" i="6" s="1"/>
  <c r="C7" i="6"/>
  <c r="D7" i="6" s="1"/>
  <c r="C6" i="6"/>
  <c r="D6" i="6" s="1"/>
  <c r="B10" i="5"/>
  <c r="B9" i="5"/>
  <c r="B8" i="5"/>
  <c r="B7" i="5"/>
  <c r="B6" i="5"/>
  <c r="B7" i="4"/>
  <c r="B6" i="4"/>
  <c r="C8" i="3"/>
  <c r="B8" i="3"/>
  <c r="E8" i="3" s="1"/>
  <c r="C7" i="3"/>
  <c r="B7" i="3"/>
  <c r="E7" i="3" s="1"/>
  <c r="C6" i="3"/>
  <c r="B6" i="3"/>
  <c r="B10" i="2"/>
  <c r="B9" i="2"/>
  <c r="B8" i="2"/>
  <c r="B7" i="2"/>
  <c r="B6" i="2"/>
  <c r="B5" i="2"/>
  <c r="E9" i="2" s="1"/>
  <c r="D7" i="3" l="1"/>
  <c r="D6" i="3"/>
  <c r="E6" i="3" s="1"/>
  <c r="E6" i="2"/>
  <c r="E7" i="2"/>
  <c r="D8" i="3"/>
  <c r="E8" i="2"/>
  <c r="C6" i="7" s="1"/>
  <c r="B8" i="4"/>
  <c r="B10" i="4" s="1"/>
  <c r="C8" i="7" l="1"/>
  <c r="C7" i="7"/>
  <c r="C9" i="7"/>
  <c r="B9" i="4"/>
  <c r="E9" i="7" l="1"/>
  <c r="D9" i="7"/>
  <c r="E6" i="7"/>
  <c r="D6" i="7"/>
  <c r="E7" i="7"/>
  <c r="D7" i="7"/>
  <c r="D8" i="7"/>
  <c r="E8" i="7"/>
</calcChain>
</file>

<file path=xl/sharedStrings.xml><?xml version="1.0" encoding="utf-8"?>
<sst xmlns="http://schemas.openxmlformats.org/spreadsheetml/2006/main" count="507" uniqueCount="149">
  <si>
    <t>Fecha</t>
  </si>
  <si>
    <t>Tipo</t>
  </si>
  <si>
    <t>Area</t>
  </si>
  <si>
    <t>Proyecto</t>
  </si>
  <si>
    <t>Descripcion</t>
  </si>
  <si>
    <t>Valor</t>
  </si>
  <si>
    <t>Metodo</t>
  </si>
  <si>
    <t>Responsable</t>
  </si>
  <si>
    <t>Entrada</t>
  </si>
  <si>
    <t>Gasto</t>
  </si>
  <si>
    <t>Consultoría</t>
  </si>
  <si>
    <t>Yogurt</t>
  </si>
  <si>
    <t>Personal</t>
  </si>
  <si>
    <t>Corponor</t>
  </si>
  <si>
    <t>Sacyr</t>
  </si>
  <si>
    <t>Pareja</t>
  </si>
  <si>
    <t>Gasolina</t>
  </si>
  <si>
    <t>SISTEMA FINANCIERO PERSONAL Y PROFESIONAL</t>
  </si>
  <si>
    <t>Dinero Total</t>
  </si>
  <si>
    <t>Entradas Totales</t>
  </si>
  <si>
    <t>Gastos Totales</t>
  </si>
  <si>
    <t>Distribución Recomendada</t>
  </si>
  <si>
    <t>Operación 40%</t>
  </si>
  <si>
    <t>Personal 30%</t>
  </si>
  <si>
    <t>Ahorro 20%</t>
  </si>
  <si>
    <t>Yogurt 10%</t>
  </si>
  <si>
    <t>ANALISIS CONSULTORIA</t>
  </si>
  <si>
    <t>Ingresos</t>
  </si>
  <si>
    <t>Gastos</t>
  </si>
  <si>
    <t>Utilidad</t>
  </si>
  <si>
    <t>Margen</t>
  </si>
  <si>
    <t>San Roque</t>
  </si>
  <si>
    <t>NEGOCIO YOGURT</t>
  </si>
  <si>
    <t>Indicador</t>
  </si>
  <si>
    <t>Reinversión sugerida</t>
  </si>
  <si>
    <t>VIDA PERSONAL Y BIENESTAR</t>
  </si>
  <si>
    <t>Categoría</t>
  </si>
  <si>
    <t>Bienestar</t>
  </si>
  <si>
    <t>Social</t>
  </si>
  <si>
    <t>Descanso</t>
  </si>
  <si>
    <t>Emocional</t>
  </si>
  <si>
    <t>PRESUPUESTO KAKEIBO</t>
  </si>
  <si>
    <t>Presupuesto</t>
  </si>
  <si>
    <t>Real</t>
  </si>
  <si>
    <t>Diferencia</t>
  </si>
  <si>
    <t>Supervivencia</t>
  </si>
  <si>
    <t>Operación</t>
  </si>
  <si>
    <t>Crecimiento</t>
  </si>
  <si>
    <t>CRECIMIENTO Y FUTURO</t>
  </si>
  <si>
    <t>Meta</t>
  </si>
  <si>
    <t>Objetivo</t>
  </si>
  <si>
    <t>Ahorrado</t>
  </si>
  <si>
    <t>Faltante</t>
  </si>
  <si>
    <t>%</t>
  </si>
  <si>
    <t>Fondo Emergencia</t>
  </si>
  <si>
    <t>Posgrado</t>
  </si>
  <si>
    <t>Laptop SIG</t>
  </si>
  <si>
    <t>Equipos Campo</t>
  </si>
  <si>
    <t>Gestavit</t>
  </si>
  <si>
    <t>Leche Yogurt</t>
  </si>
  <si>
    <t>Negocio Yogurt</t>
  </si>
  <si>
    <t>Pechuga de pollo</t>
  </si>
  <si>
    <t>Empanadas</t>
  </si>
  <si>
    <t>Salchipapa-Perro caliente</t>
  </si>
  <si>
    <t>Chucherias y dulces</t>
  </si>
  <si>
    <t>Cuenta de telefono</t>
  </si>
  <si>
    <t>Maracuya</t>
  </si>
  <si>
    <t>Papa, ajo, bananos</t>
  </si>
  <si>
    <t>Jabon aseo personal, crema de leche, maiz</t>
  </si>
  <si>
    <t>Lechuga, tomate, queso</t>
  </si>
  <si>
    <t>Recibo del agua</t>
  </si>
  <si>
    <t>Vikingos dulce</t>
  </si>
  <si>
    <t>Seguridad social</t>
  </si>
  <si>
    <t>Inscripcion Universidad</t>
  </si>
  <si>
    <t>Cambio de aceite</t>
  </si>
  <si>
    <t>Trabajo Sacyr</t>
  </si>
  <si>
    <t>Cigarros</t>
  </si>
  <si>
    <t>Pollo asado</t>
  </si>
  <si>
    <t xml:space="preserve">LecheYogurt </t>
  </si>
  <si>
    <t>Transportes Pareja</t>
  </si>
  <si>
    <t>Yogurt Carlos</t>
  </si>
  <si>
    <t>Yogurt Dñ Mercedes</t>
  </si>
  <si>
    <t>Yogurt Gold Gym</t>
  </si>
  <si>
    <t>Baterias GPS</t>
  </si>
  <si>
    <t>Trabajo San Roque</t>
  </si>
  <si>
    <t>Almuerzo pollo broaster</t>
  </si>
  <si>
    <t>Almuerzos Jose y Rovert</t>
  </si>
  <si>
    <t>Arepas rellenas</t>
  </si>
  <si>
    <t>Mantecadas, queso regalos</t>
  </si>
  <si>
    <t>Rifa Sobrinas</t>
  </si>
  <si>
    <t>Chawarma Leidy</t>
  </si>
  <si>
    <t>Toallas Higienicas</t>
  </si>
  <si>
    <t>Embases Yogurt</t>
  </si>
  <si>
    <t>Azucar mora chocolate mermelada</t>
  </si>
  <si>
    <t>Cultivo lactico</t>
  </si>
  <si>
    <t>Yogurt Camilo</t>
  </si>
  <si>
    <t>Almuerzo</t>
  </si>
  <si>
    <t>Prestamo Jair</t>
  </si>
  <si>
    <t>Linternas</t>
  </si>
  <si>
    <t>Silla tactica</t>
  </si>
  <si>
    <t>Farmacia</t>
  </si>
  <si>
    <t>Café y mecato</t>
  </si>
  <si>
    <t>Hamburgesas</t>
  </si>
  <si>
    <t>Transporte Jair</t>
  </si>
  <si>
    <t>Transporte Equipos</t>
  </si>
  <si>
    <t>Transporte pareja</t>
  </si>
  <si>
    <t>Adelanto San roque</t>
  </si>
  <si>
    <t>Rollo de cuerda</t>
  </si>
  <si>
    <t>Cebo trampas</t>
  </si>
  <si>
    <t xml:space="preserve">Alimentacion </t>
  </si>
  <si>
    <t>Hospedaje</t>
  </si>
  <si>
    <t>Carne comida</t>
  </si>
  <si>
    <t>Sabana de notas</t>
  </si>
  <si>
    <t>Estampilla</t>
  </si>
  <si>
    <t>Mecato</t>
  </si>
  <si>
    <t>pan</t>
  </si>
  <si>
    <t>Auxiliar campo</t>
  </si>
  <si>
    <t>Transporte</t>
  </si>
  <si>
    <t>Hamburgesas, cenas pareja</t>
  </si>
  <si>
    <t>Deuda Jair</t>
  </si>
  <si>
    <t>Hambuergesa cena hermana</t>
  </si>
  <si>
    <t xml:space="preserve">Mecato </t>
  </si>
  <si>
    <t>Deisy Yogurt</t>
  </si>
  <si>
    <t>Yogurt Victor</t>
  </si>
  <si>
    <t>Corte de cabello</t>
  </si>
  <si>
    <t>Cervezas y mecato</t>
  </si>
  <si>
    <t>regalo pareja</t>
  </si>
  <si>
    <t>Empanadas pareja</t>
  </si>
  <si>
    <t>Helado pareja</t>
  </si>
  <si>
    <t>Hamburgesas pareja</t>
  </si>
  <si>
    <t>Energizante</t>
  </si>
  <si>
    <t>Prestamo Nandev</t>
  </si>
  <si>
    <t>Pasteles oficina</t>
  </si>
  <si>
    <t>Aire llantas moto</t>
  </si>
  <si>
    <t>Copias</t>
  </si>
  <si>
    <t>Copornor</t>
  </si>
  <si>
    <t>Donacion necesidad persona</t>
  </si>
  <si>
    <t>Jugo de guanavana</t>
  </si>
  <si>
    <t>Recibo internet</t>
  </si>
  <si>
    <t>Recibo Luz</t>
  </si>
  <si>
    <t>Recibo agua</t>
  </si>
  <si>
    <t>Almuerzo Nandev</t>
  </si>
  <si>
    <t>Arreglo celular</t>
  </si>
  <si>
    <t>Mecato Jovenes de ambiente</t>
  </si>
  <si>
    <t>Asesoria Administrador</t>
  </si>
  <si>
    <t>Recibo Internet de vuelta</t>
  </si>
  <si>
    <t>Hamburgesa hermana</t>
  </si>
  <si>
    <t>Matequilla de mani</t>
  </si>
  <si>
    <t>Metas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</si>
</sst>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2" fillId="3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Financiera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</c:v>
          </c:tx>
          <c:cat>
            <c:strRef>
              <c:f>DASHBOARD!$D$6:$D$9</c:f>
              <c:strCache>
                <c:ptCount val="4"/>
                <c:pt idx="0">
                  <c:v>Operación 40%</c:v>
                </c:pt>
                <c:pt idx="1">
                  <c:v>Personal 30%</c:v>
                </c:pt>
                <c:pt idx="2">
                  <c:v>Ahorro 20%</c:v>
                </c:pt>
                <c:pt idx="3">
                  <c:v>Yogurt 10%</c:v>
                </c:pt>
              </c:strCache>
            </c:strRef>
          </c:cat>
          <c:val>
            <c:numRef>
              <c:f>DASHBOARD!$E$6:$E$9</c:f>
              <c:numCache>
                <c:formatCode>\$#,##0</c:formatCode>
                <c:ptCount val="4"/>
                <c:pt idx="0">
                  <c:v>964654.8</c:v>
                </c:pt>
                <c:pt idx="1">
                  <c:v>723491.1</c:v>
                </c:pt>
                <c:pt idx="2">
                  <c:v>482327.4</c:v>
                </c:pt>
                <c:pt idx="3">
                  <c:v>241163.7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3-4DBF-A949-4ECBA27E0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2</xdr:row>
      <xdr:rowOff>167640</xdr:rowOff>
    </xdr:from>
    <xdr:to>
      <xdr:col>15</xdr:col>
      <xdr:colOff>205740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zoomScale="55" zoomScaleNormal="55" workbookViewId="0">
      <selection activeCell="H3" sqref="H3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  <col min="5" max="5" width="30.6640625" customWidth="1"/>
    <col min="6" max="8" width="1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>
        <v>46122</v>
      </c>
      <c r="B2" t="s">
        <v>8</v>
      </c>
      <c r="C2" t="s">
        <v>10</v>
      </c>
      <c r="D2" t="s">
        <v>135</v>
      </c>
      <c r="E2" t="s">
        <v>13</v>
      </c>
      <c r="F2">
        <v>3038000</v>
      </c>
    </row>
    <row r="3" spans="1:8" x14ac:dyDescent="0.3">
      <c r="A3" s="4">
        <v>46122</v>
      </c>
      <c r="B3" t="s">
        <v>9</v>
      </c>
      <c r="C3" t="s">
        <v>12</v>
      </c>
      <c r="D3" t="s">
        <v>45</v>
      </c>
      <c r="E3" t="s">
        <v>58</v>
      </c>
      <c r="F3">
        <v>173565</v>
      </c>
    </row>
    <row r="4" spans="1:8" x14ac:dyDescent="0.3">
      <c r="A4" s="4">
        <v>46122</v>
      </c>
      <c r="B4" t="s">
        <v>9</v>
      </c>
      <c r="C4" t="s">
        <v>11</v>
      </c>
      <c r="D4" t="s">
        <v>11</v>
      </c>
      <c r="E4" t="s">
        <v>59</v>
      </c>
      <c r="F4">
        <v>29420</v>
      </c>
    </row>
    <row r="5" spans="1:8" x14ac:dyDescent="0.3">
      <c r="A5" s="4">
        <v>46122</v>
      </c>
      <c r="B5" t="s">
        <v>9</v>
      </c>
      <c r="C5" t="s">
        <v>12</v>
      </c>
      <c r="D5" t="s">
        <v>12</v>
      </c>
      <c r="E5" t="s">
        <v>61</v>
      </c>
      <c r="F5">
        <v>30033</v>
      </c>
    </row>
    <row r="6" spans="1:8" x14ac:dyDescent="0.3">
      <c r="A6" s="4">
        <v>46122</v>
      </c>
      <c r="B6" t="s">
        <v>9</v>
      </c>
      <c r="C6" t="s">
        <v>12</v>
      </c>
      <c r="D6" t="s">
        <v>12</v>
      </c>
      <c r="E6" t="s">
        <v>62</v>
      </c>
      <c r="F6">
        <v>8000</v>
      </c>
    </row>
    <row r="7" spans="1:8" x14ac:dyDescent="0.3">
      <c r="A7" s="4">
        <v>46123</v>
      </c>
      <c r="B7" t="s">
        <v>9</v>
      </c>
      <c r="C7" t="s">
        <v>12</v>
      </c>
      <c r="D7" t="s">
        <v>12</v>
      </c>
      <c r="E7" t="s">
        <v>63</v>
      </c>
      <c r="F7">
        <v>28000</v>
      </c>
    </row>
    <row r="8" spans="1:8" x14ac:dyDescent="0.3">
      <c r="A8" s="4">
        <v>46124</v>
      </c>
      <c r="B8" t="s">
        <v>9</v>
      </c>
      <c r="C8" t="s">
        <v>10</v>
      </c>
      <c r="D8" t="s">
        <v>135</v>
      </c>
      <c r="E8" t="s">
        <v>64</v>
      </c>
      <c r="F8">
        <v>50300</v>
      </c>
    </row>
    <row r="9" spans="1:8" x14ac:dyDescent="0.3">
      <c r="A9" s="4">
        <v>46124</v>
      </c>
      <c r="B9" t="s">
        <v>9</v>
      </c>
      <c r="C9" t="s">
        <v>10</v>
      </c>
      <c r="D9" t="s">
        <v>135</v>
      </c>
      <c r="E9" t="s">
        <v>65</v>
      </c>
      <c r="F9">
        <v>41400</v>
      </c>
    </row>
    <row r="10" spans="1:8" x14ac:dyDescent="0.3">
      <c r="A10" s="4">
        <v>46124</v>
      </c>
      <c r="B10" t="s">
        <v>9</v>
      </c>
      <c r="C10" t="s">
        <v>12</v>
      </c>
      <c r="D10" t="s">
        <v>12</v>
      </c>
      <c r="E10" t="s">
        <v>66</v>
      </c>
      <c r="F10">
        <v>7000</v>
      </c>
    </row>
    <row r="11" spans="1:8" x14ac:dyDescent="0.3">
      <c r="A11" s="4">
        <v>46124</v>
      </c>
      <c r="B11" t="s">
        <v>9</v>
      </c>
      <c r="C11" t="s">
        <v>12</v>
      </c>
      <c r="D11" t="s">
        <v>12</v>
      </c>
      <c r="E11" t="s">
        <v>67</v>
      </c>
      <c r="F11">
        <v>14800</v>
      </c>
    </row>
    <row r="12" spans="1:8" x14ac:dyDescent="0.3">
      <c r="A12" s="4">
        <v>46124</v>
      </c>
      <c r="B12" t="s">
        <v>9</v>
      </c>
      <c r="C12" t="s">
        <v>12</v>
      </c>
      <c r="D12" t="s">
        <v>12</v>
      </c>
      <c r="E12" t="s">
        <v>68</v>
      </c>
      <c r="F12">
        <v>62400</v>
      </c>
    </row>
    <row r="13" spans="1:8" x14ac:dyDescent="0.3">
      <c r="A13" s="4">
        <v>46124</v>
      </c>
      <c r="B13" t="s">
        <v>9</v>
      </c>
      <c r="C13" t="s">
        <v>12</v>
      </c>
      <c r="D13" t="s">
        <v>12</v>
      </c>
      <c r="E13" t="s">
        <v>69</v>
      </c>
      <c r="F13">
        <v>30700</v>
      </c>
    </row>
    <row r="14" spans="1:8" x14ac:dyDescent="0.3">
      <c r="A14" s="4">
        <v>46124</v>
      </c>
      <c r="B14" t="s">
        <v>9</v>
      </c>
      <c r="C14" t="s">
        <v>12</v>
      </c>
      <c r="D14" t="s">
        <v>12</v>
      </c>
      <c r="E14" t="s">
        <v>70</v>
      </c>
      <c r="F14">
        <v>35060</v>
      </c>
    </row>
    <row r="15" spans="1:8" x14ac:dyDescent="0.3">
      <c r="A15" s="4">
        <v>46124</v>
      </c>
      <c r="B15" t="s">
        <v>9</v>
      </c>
      <c r="C15" t="s">
        <v>12</v>
      </c>
      <c r="D15" t="s">
        <v>12</v>
      </c>
      <c r="E15" t="s">
        <v>71</v>
      </c>
      <c r="F15">
        <v>2000</v>
      </c>
    </row>
    <row r="16" spans="1:8" x14ac:dyDescent="0.3">
      <c r="A16" s="4">
        <v>46124</v>
      </c>
      <c r="B16" t="s">
        <v>9</v>
      </c>
      <c r="C16" t="s">
        <v>10</v>
      </c>
      <c r="D16" t="s">
        <v>135</v>
      </c>
      <c r="E16" t="s">
        <v>72</v>
      </c>
      <c r="F16">
        <v>576900</v>
      </c>
    </row>
    <row r="17" spans="1:6" x14ac:dyDescent="0.3">
      <c r="A17" s="4">
        <v>46125</v>
      </c>
      <c r="B17" t="s">
        <v>9</v>
      </c>
      <c r="C17" t="s">
        <v>148</v>
      </c>
      <c r="D17" t="s">
        <v>55</v>
      </c>
      <c r="E17" t="s">
        <v>73</v>
      </c>
      <c r="F17">
        <v>350000</v>
      </c>
    </row>
    <row r="18" spans="1:6" x14ac:dyDescent="0.3">
      <c r="A18" s="4">
        <v>46126</v>
      </c>
      <c r="B18" t="s">
        <v>9</v>
      </c>
      <c r="C18" t="s">
        <v>10</v>
      </c>
      <c r="D18" t="s">
        <v>14</v>
      </c>
      <c r="E18" t="s">
        <v>74</v>
      </c>
      <c r="F18">
        <v>50000</v>
      </c>
    </row>
    <row r="19" spans="1:6" x14ac:dyDescent="0.3">
      <c r="A19" s="4">
        <v>46126</v>
      </c>
      <c r="B19" t="s">
        <v>9</v>
      </c>
      <c r="C19" t="s">
        <v>10</v>
      </c>
      <c r="D19" t="s">
        <v>14</v>
      </c>
      <c r="E19" t="s">
        <v>16</v>
      </c>
      <c r="F19">
        <v>20359</v>
      </c>
    </row>
    <row r="20" spans="1:6" x14ac:dyDescent="0.3">
      <c r="A20" s="4">
        <v>46126</v>
      </c>
      <c r="B20" t="s">
        <v>9</v>
      </c>
      <c r="C20" t="s">
        <v>10</v>
      </c>
      <c r="D20" t="s">
        <v>14</v>
      </c>
      <c r="E20" t="s">
        <v>76</v>
      </c>
      <c r="F20">
        <v>10000</v>
      </c>
    </row>
    <row r="21" spans="1:6" x14ac:dyDescent="0.3">
      <c r="A21" s="4">
        <v>46127</v>
      </c>
      <c r="B21" t="s">
        <v>9</v>
      </c>
      <c r="C21" t="s">
        <v>10</v>
      </c>
      <c r="D21" t="s">
        <v>14</v>
      </c>
      <c r="E21" t="s">
        <v>16</v>
      </c>
      <c r="F21">
        <v>16198</v>
      </c>
    </row>
    <row r="22" spans="1:6" x14ac:dyDescent="0.3">
      <c r="A22" s="4">
        <v>46127</v>
      </c>
      <c r="B22" t="s">
        <v>9</v>
      </c>
      <c r="C22" t="s">
        <v>12</v>
      </c>
      <c r="D22" t="s">
        <v>12</v>
      </c>
      <c r="E22" t="s">
        <v>77</v>
      </c>
      <c r="F22">
        <v>18000</v>
      </c>
    </row>
    <row r="23" spans="1:6" x14ac:dyDescent="0.3">
      <c r="A23" s="4">
        <v>46127</v>
      </c>
      <c r="B23" t="s">
        <v>9</v>
      </c>
      <c r="C23" t="s">
        <v>11</v>
      </c>
      <c r="D23" t="s">
        <v>11</v>
      </c>
      <c r="E23" t="s">
        <v>78</v>
      </c>
      <c r="F23">
        <v>34260</v>
      </c>
    </row>
    <row r="24" spans="1:6" x14ac:dyDescent="0.3">
      <c r="A24" s="4">
        <v>46127</v>
      </c>
      <c r="B24" t="s">
        <v>9</v>
      </c>
      <c r="C24" t="s">
        <v>12</v>
      </c>
      <c r="D24" t="s">
        <v>12</v>
      </c>
      <c r="E24" t="s">
        <v>79</v>
      </c>
      <c r="F24">
        <v>50000</v>
      </c>
    </row>
    <row r="25" spans="1:6" x14ac:dyDescent="0.3">
      <c r="A25" s="4">
        <v>46125</v>
      </c>
      <c r="B25" t="s">
        <v>8</v>
      </c>
      <c r="C25" t="s">
        <v>11</v>
      </c>
      <c r="D25" t="s">
        <v>11</v>
      </c>
      <c r="E25" t="s">
        <v>80</v>
      </c>
      <c r="F25">
        <v>80000</v>
      </c>
    </row>
    <row r="26" spans="1:6" x14ac:dyDescent="0.3">
      <c r="A26" s="4">
        <v>46125</v>
      </c>
      <c r="B26" t="s">
        <v>8</v>
      </c>
      <c r="C26" t="s">
        <v>11</v>
      </c>
      <c r="D26" t="s">
        <v>11</v>
      </c>
      <c r="E26" t="s">
        <v>81</v>
      </c>
      <c r="F26">
        <v>25000</v>
      </c>
    </row>
    <row r="27" spans="1:6" x14ac:dyDescent="0.3">
      <c r="A27" s="4">
        <v>46125</v>
      </c>
      <c r="B27" t="s">
        <v>8</v>
      </c>
      <c r="C27" t="s">
        <v>11</v>
      </c>
      <c r="D27" t="s">
        <v>11</v>
      </c>
      <c r="E27" t="s">
        <v>82</v>
      </c>
      <c r="F27">
        <v>69000</v>
      </c>
    </row>
    <row r="28" spans="1:6" x14ac:dyDescent="0.3">
      <c r="A28" s="4">
        <v>46128</v>
      </c>
      <c r="B28" t="s">
        <v>9</v>
      </c>
      <c r="C28" t="s">
        <v>11</v>
      </c>
      <c r="D28" t="s">
        <v>11</v>
      </c>
      <c r="E28" t="s">
        <v>59</v>
      </c>
      <c r="F28">
        <v>30280</v>
      </c>
    </row>
    <row r="29" spans="1:6" x14ac:dyDescent="0.3">
      <c r="A29" s="4">
        <v>46128</v>
      </c>
      <c r="B29" t="s">
        <v>9</v>
      </c>
      <c r="C29" t="s">
        <v>10</v>
      </c>
      <c r="D29" t="s">
        <v>14</v>
      </c>
      <c r="E29" t="s">
        <v>76</v>
      </c>
      <c r="F29">
        <v>8000</v>
      </c>
    </row>
    <row r="30" spans="1:6" x14ac:dyDescent="0.3">
      <c r="A30" s="4">
        <v>46128</v>
      </c>
      <c r="B30" t="s">
        <v>9</v>
      </c>
      <c r="C30" t="s">
        <v>10</v>
      </c>
      <c r="D30" t="s">
        <v>31</v>
      </c>
      <c r="E30" t="s">
        <v>83</v>
      </c>
      <c r="F30">
        <v>5000</v>
      </c>
    </row>
    <row r="31" spans="1:6" x14ac:dyDescent="0.3">
      <c r="A31" s="4">
        <v>46128</v>
      </c>
      <c r="B31" t="s">
        <v>9</v>
      </c>
      <c r="C31" t="s">
        <v>12</v>
      </c>
      <c r="E31" t="s">
        <v>79</v>
      </c>
      <c r="F31">
        <v>30000</v>
      </c>
    </row>
    <row r="32" spans="1:6" x14ac:dyDescent="0.3">
      <c r="A32" s="4">
        <v>46128</v>
      </c>
      <c r="B32" t="s">
        <v>9</v>
      </c>
      <c r="C32" t="s">
        <v>10</v>
      </c>
      <c r="D32" t="s">
        <v>75</v>
      </c>
      <c r="E32" t="s">
        <v>16</v>
      </c>
      <c r="F32">
        <v>18346</v>
      </c>
    </row>
    <row r="33" spans="1:6" x14ac:dyDescent="0.3">
      <c r="A33" s="4">
        <v>46129</v>
      </c>
      <c r="B33" t="s">
        <v>9</v>
      </c>
      <c r="C33" t="s">
        <v>12</v>
      </c>
      <c r="E33" t="s">
        <v>79</v>
      </c>
      <c r="F33">
        <v>9000</v>
      </c>
    </row>
    <row r="34" spans="1:6" x14ac:dyDescent="0.3">
      <c r="A34" s="4">
        <v>46129</v>
      </c>
      <c r="B34" t="s">
        <v>9</v>
      </c>
      <c r="C34" t="s">
        <v>12</v>
      </c>
      <c r="E34" t="s">
        <v>79</v>
      </c>
      <c r="F34">
        <v>3000</v>
      </c>
    </row>
    <row r="35" spans="1:6" x14ac:dyDescent="0.3">
      <c r="A35" s="4">
        <v>46129</v>
      </c>
      <c r="B35" t="s">
        <v>9</v>
      </c>
      <c r="C35" t="s">
        <v>12</v>
      </c>
      <c r="E35" t="s">
        <v>85</v>
      </c>
      <c r="F35">
        <v>13000</v>
      </c>
    </row>
    <row r="36" spans="1:6" x14ac:dyDescent="0.3">
      <c r="A36" s="4">
        <v>46129</v>
      </c>
      <c r="B36" t="s">
        <v>9</v>
      </c>
      <c r="C36" t="s">
        <v>10</v>
      </c>
      <c r="D36" t="s">
        <v>75</v>
      </c>
      <c r="E36" t="s">
        <v>16</v>
      </c>
      <c r="F36">
        <v>21447</v>
      </c>
    </row>
    <row r="37" spans="1:6" x14ac:dyDescent="0.3">
      <c r="A37" s="4">
        <v>46130</v>
      </c>
      <c r="B37" t="s">
        <v>9</v>
      </c>
      <c r="C37" t="s">
        <v>10</v>
      </c>
      <c r="D37" t="s">
        <v>75</v>
      </c>
      <c r="E37" t="s">
        <v>16</v>
      </c>
      <c r="F37">
        <v>25354</v>
      </c>
    </row>
    <row r="38" spans="1:6" x14ac:dyDescent="0.3">
      <c r="A38" s="4">
        <v>46130</v>
      </c>
      <c r="B38" t="s">
        <v>9</v>
      </c>
      <c r="C38" t="s">
        <v>10</v>
      </c>
      <c r="E38" t="s">
        <v>86</v>
      </c>
      <c r="F38">
        <v>50000</v>
      </c>
    </row>
    <row r="39" spans="1:6" x14ac:dyDescent="0.3">
      <c r="A39" s="4">
        <v>46130</v>
      </c>
      <c r="B39" t="s">
        <v>9</v>
      </c>
      <c r="C39" t="s">
        <v>12</v>
      </c>
      <c r="E39" t="s">
        <v>87</v>
      </c>
      <c r="F39">
        <v>15500</v>
      </c>
    </row>
    <row r="40" spans="1:6" x14ac:dyDescent="0.3">
      <c r="A40" s="4">
        <v>46130</v>
      </c>
      <c r="B40" t="s">
        <v>9</v>
      </c>
      <c r="C40" t="s">
        <v>12</v>
      </c>
      <c r="E40" t="s">
        <v>88</v>
      </c>
      <c r="F40">
        <v>27000</v>
      </c>
    </row>
    <row r="41" spans="1:6" x14ac:dyDescent="0.3">
      <c r="A41" s="4">
        <v>46130</v>
      </c>
      <c r="B41" t="s">
        <v>9</v>
      </c>
      <c r="C41" t="s">
        <v>12</v>
      </c>
      <c r="E41" t="s">
        <v>89</v>
      </c>
      <c r="F41">
        <v>20000</v>
      </c>
    </row>
    <row r="42" spans="1:6" x14ac:dyDescent="0.3">
      <c r="A42" s="4">
        <v>46130</v>
      </c>
      <c r="B42" t="s">
        <v>9</v>
      </c>
      <c r="C42" t="s">
        <v>12</v>
      </c>
      <c r="E42" t="s">
        <v>90</v>
      </c>
      <c r="F42">
        <v>14000</v>
      </c>
    </row>
    <row r="43" spans="1:6" x14ac:dyDescent="0.3">
      <c r="A43" s="4">
        <v>46131</v>
      </c>
      <c r="B43" t="s">
        <v>9</v>
      </c>
      <c r="C43" t="s">
        <v>12</v>
      </c>
      <c r="E43" t="s">
        <v>91</v>
      </c>
      <c r="F43">
        <v>4000</v>
      </c>
    </row>
    <row r="44" spans="1:6" x14ac:dyDescent="0.3">
      <c r="A44" s="4">
        <v>46132</v>
      </c>
      <c r="B44" t="s">
        <v>9</v>
      </c>
      <c r="C44" t="s">
        <v>10</v>
      </c>
      <c r="D44" t="s">
        <v>75</v>
      </c>
      <c r="E44" t="s">
        <v>76</v>
      </c>
      <c r="F44">
        <v>10000</v>
      </c>
    </row>
    <row r="45" spans="1:6" x14ac:dyDescent="0.3">
      <c r="A45" s="4">
        <v>46132</v>
      </c>
      <c r="B45" t="s">
        <v>9</v>
      </c>
      <c r="C45" t="s">
        <v>11</v>
      </c>
      <c r="D45" t="s">
        <v>60</v>
      </c>
      <c r="E45" t="s">
        <v>92</v>
      </c>
      <c r="F45">
        <v>32400</v>
      </c>
    </row>
    <row r="46" spans="1:6" x14ac:dyDescent="0.3">
      <c r="A46" s="4">
        <v>46132</v>
      </c>
      <c r="B46" t="s">
        <v>9</v>
      </c>
      <c r="C46" t="s">
        <v>11</v>
      </c>
      <c r="D46" t="s">
        <v>60</v>
      </c>
      <c r="E46" t="s">
        <v>59</v>
      </c>
      <c r="F46">
        <v>8000</v>
      </c>
    </row>
    <row r="47" spans="1:6" x14ac:dyDescent="0.3">
      <c r="A47" s="4">
        <v>46132</v>
      </c>
      <c r="B47" t="s">
        <v>9</v>
      </c>
      <c r="C47" t="s">
        <v>11</v>
      </c>
      <c r="D47" t="s">
        <v>60</v>
      </c>
      <c r="E47" t="s">
        <v>93</v>
      </c>
      <c r="F47">
        <v>17200</v>
      </c>
    </row>
    <row r="48" spans="1:6" x14ac:dyDescent="0.3">
      <c r="A48" s="4">
        <v>46132</v>
      </c>
      <c r="B48" t="s">
        <v>9</v>
      </c>
      <c r="C48" t="s">
        <v>11</v>
      </c>
      <c r="D48" t="s">
        <v>60</v>
      </c>
      <c r="E48" t="s">
        <v>94</v>
      </c>
      <c r="F48">
        <v>50000</v>
      </c>
    </row>
    <row r="49" spans="1:6" x14ac:dyDescent="0.3">
      <c r="A49" s="4">
        <v>46131</v>
      </c>
      <c r="B49" t="s">
        <v>8</v>
      </c>
      <c r="C49" t="s">
        <v>11</v>
      </c>
      <c r="D49" t="s">
        <v>60</v>
      </c>
      <c r="E49" t="s">
        <v>95</v>
      </c>
      <c r="F49">
        <v>45000</v>
      </c>
    </row>
    <row r="50" spans="1:6" x14ac:dyDescent="0.3">
      <c r="A50" s="4">
        <v>46133</v>
      </c>
      <c r="B50" t="s">
        <v>9</v>
      </c>
      <c r="C50" t="s">
        <v>12</v>
      </c>
      <c r="E50" t="s">
        <v>96</v>
      </c>
      <c r="F50">
        <v>28000</v>
      </c>
    </row>
    <row r="51" spans="1:6" x14ac:dyDescent="0.3">
      <c r="A51" s="4">
        <v>46133</v>
      </c>
      <c r="B51" t="s">
        <v>9</v>
      </c>
      <c r="C51" t="s">
        <v>12</v>
      </c>
      <c r="E51" t="s">
        <v>97</v>
      </c>
      <c r="F51">
        <v>279000</v>
      </c>
    </row>
    <row r="52" spans="1:6" x14ac:dyDescent="0.3">
      <c r="A52" s="4">
        <v>46133</v>
      </c>
      <c r="B52" t="s">
        <v>8</v>
      </c>
      <c r="C52" t="s">
        <v>10</v>
      </c>
      <c r="E52" t="s">
        <v>75</v>
      </c>
      <c r="F52">
        <v>1250000</v>
      </c>
    </row>
    <row r="53" spans="1:6" x14ac:dyDescent="0.3">
      <c r="A53" s="4">
        <v>46134</v>
      </c>
      <c r="B53" t="s">
        <v>9</v>
      </c>
      <c r="C53" t="s">
        <v>10</v>
      </c>
      <c r="D53" t="s">
        <v>84</v>
      </c>
      <c r="E53" t="s">
        <v>98</v>
      </c>
      <c r="F53">
        <v>135000</v>
      </c>
    </row>
    <row r="54" spans="1:6" x14ac:dyDescent="0.3">
      <c r="A54" s="4">
        <v>46134</v>
      </c>
      <c r="B54" t="s">
        <v>9</v>
      </c>
      <c r="C54" t="s">
        <v>10</v>
      </c>
      <c r="D54" t="s">
        <v>84</v>
      </c>
      <c r="E54" t="s">
        <v>99</v>
      </c>
      <c r="F54">
        <v>35000</v>
      </c>
    </row>
    <row r="55" spans="1:6" x14ac:dyDescent="0.3">
      <c r="A55" s="4">
        <v>46134</v>
      </c>
      <c r="B55" t="s">
        <v>9</v>
      </c>
      <c r="C55" t="s">
        <v>10</v>
      </c>
      <c r="D55" t="s">
        <v>84</v>
      </c>
      <c r="E55" t="s">
        <v>76</v>
      </c>
      <c r="F55">
        <v>40000</v>
      </c>
    </row>
    <row r="56" spans="1:6" x14ac:dyDescent="0.3">
      <c r="A56" s="4">
        <v>46134</v>
      </c>
      <c r="B56" t="s">
        <v>9</v>
      </c>
      <c r="C56" t="s">
        <v>10</v>
      </c>
      <c r="D56" t="s">
        <v>84</v>
      </c>
      <c r="E56" t="s">
        <v>100</v>
      </c>
      <c r="F56">
        <v>25000</v>
      </c>
    </row>
    <row r="57" spans="1:6" x14ac:dyDescent="0.3">
      <c r="A57" s="4">
        <v>46134</v>
      </c>
      <c r="B57" t="s">
        <v>9</v>
      </c>
      <c r="C57" t="s">
        <v>10</v>
      </c>
      <c r="D57" t="s">
        <v>84</v>
      </c>
      <c r="E57" t="s">
        <v>101</v>
      </c>
      <c r="F57">
        <v>76100</v>
      </c>
    </row>
    <row r="58" spans="1:6" x14ac:dyDescent="0.3">
      <c r="A58" s="4">
        <v>46134</v>
      </c>
      <c r="B58" t="s">
        <v>9</v>
      </c>
      <c r="C58" t="s">
        <v>12</v>
      </c>
      <c r="E58" t="s">
        <v>102</v>
      </c>
      <c r="F58">
        <v>55800</v>
      </c>
    </row>
    <row r="59" spans="1:6" x14ac:dyDescent="0.3">
      <c r="A59" s="4">
        <v>46135</v>
      </c>
      <c r="B59" t="s">
        <v>9</v>
      </c>
      <c r="C59" t="s">
        <v>10</v>
      </c>
      <c r="D59" t="s">
        <v>84</v>
      </c>
      <c r="E59" t="s">
        <v>103</v>
      </c>
      <c r="F59">
        <v>50000</v>
      </c>
    </row>
    <row r="60" spans="1:6" x14ac:dyDescent="0.3">
      <c r="A60" s="4">
        <v>46135</v>
      </c>
      <c r="B60" t="s">
        <v>9</v>
      </c>
      <c r="C60" t="s">
        <v>10</v>
      </c>
      <c r="D60" t="s">
        <v>84</v>
      </c>
      <c r="E60" t="s">
        <v>104</v>
      </c>
      <c r="F60">
        <v>100000</v>
      </c>
    </row>
    <row r="61" spans="1:6" x14ac:dyDescent="0.3">
      <c r="A61" s="4">
        <v>46135</v>
      </c>
      <c r="B61" t="s">
        <v>9</v>
      </c>
      <c r="C61" t="s">
        <v>12</v>
      </c>
      <c r="E61" t="s">
        <v>105</v>
      </c>
      <c r="F61">
        <v>40000</v>
      </c>
    </row>
    <row r="62" spans="1:6" x14ac:dyDescent="0.3">
      <c r="A62" s="4">
        <v>46135</v>
      </c>
      <c r="B62" t="s">
        <v>8</v>
      </c>
      <c r="C62" t="s">
        <v>10</v>
      </c>
      <c r="D62" t="s">
        <v>84</v>
      </c>
      <c r="E62" t="s">
        <v>106</v>
      </c>
      <c r="F62">
        <v>3276000</v>
      </c>
    </row>
    <row r="63" spans="1:6" x14ac:dyDescent="0.3">
      <c r="A63" s="4">
        <v>46137</v>
      </c>
      <c r="B63" t="s">
        <v>9</v>
      </c>
      <c r="C63" t="s">
        <v>10</v>
      </c>
      <c r="D63" t="s">
        <v>84</v>
      </c>
      <c r="E63" t="s">
        <v>107</v>
      </c>
      <c r="F63">
        <v>5000</v>
      </c>
    </row>
    <row r="64" spans="1:6" x14ac:dyDescent="0.3">
      <c r="A64" s="4">
        <v>46137</v>
      </c>
      <c r="B64" t="s">
        <v>9</v>
      </c>
      <c r="C64" t="s">
        <v>10</v>
      </c>
      <c r="D64" t="s">
        <v>84</v>
      </c>
      <c r="E64" t="s">
        <v>108</v>
      </c>
      <c r="F64">
        <v>10000</v>
      </c>
    </row>
    <row r="65" spans="1:6" x14ac:dyDescent="0.3">
      <c r="A65" s="4">
        <v>46137</v>
      </c>
      <c r="B65" t="s">
        <v>9</v>
      </c>
      <c r="C65" t="s">
        <v>11</v>
      </c>
      <c r="D65" t="s">
        <v>60</v>
      </c>
      <c r="E65" t="s">
        <v>59</v>
      </c>
      <c r="F65">
        <v>31000</v>
      </c>
    </row>
    <row r="66" spans="1:6" x14ac:dyDescent="0.3">
      <c r="A66" s="4">
        <v>46137</v>
      </c>
      <c r="B66" t="s">
        <v>9</v>
      </c>
      <c r="C66" t="s">
        <v>12</v>
      </c>
      <c r="E66" t="s">
        <v>105</v>
      </c>
      <c r="F66">
        <v>20000</v>
      </c>
    </row>
    <row r="67" spans="1:6" x14ac:dyDescent="0.3">
      <c r="A67" s="4">
        <v>46137</v>
      </c>
      <c r="B67" t="s">
        <v>8</v>
      </c>
      <c r="C67" t="s">
        <v>11</v>
      </c>
      <c r="D67" t="s">
        <v>60</v>
      </c>
      <c r="E67" t="s">
        <v>95</v>
      </c>
      <c r="F67">
        <v>66000</v>
      </c>
    </row>
    <row r="68" spans="1:6" x14ac:dyDescent="0.3">
      <c r="A68" s="4">
        <v>46138</v>
      </c>
      <c r="B68" t="s">
        <v>9</v>
      </c>
      <c r="C68" t="s">
        <v>10</v>
      </c>
      <c r="D68" t="s">
        <v>84</v>
      </c>
      <c r="E68" t="s">
        <v>109</v>
      </c>
      <c r="F68">
        <v>360000</v>
      </c>
    </row>
    <row r="69" spans="1:6" x14ac:dyDescent="0.3">
      <c r="A69" s="4">
        <v>46138</v>
      </c>
      <c r="B69" t="s">
        <v>9</v>
      </c>
      <c r="C69" t="s">
        <v>10</v>
      </c>
      <c r="D69" t="s">
        <v>84</v>
      </c>
      <c r="E69" t="s">
        <v>110</v>
      </c>
      <c r="F69">
        <v>200000</v>
      </c>
    </row>
    <row r="70" spans="1:6" x14ac:dyDescent="0.3">
      <c r="A70" s="4">
        <v>46138</v>
      </c>
      <c r="B70" t="s">
        <v>9</v>
      </c>
      <c r="C70" t="s">
        <v>10</v>
      </c>
      <c r="D70" t="s">
        <v>84</v>
      </c>
      <c r="E70" t="s">
        <v>111</v>
      </c>
      <c r="F70">
        <v>44000</v>
      </c>
    </row>
    <row r="71" spans="1:6" x14ac:dyDescent="0.3">
      <c r="A71" s="4">
        <v>46138</v>
      </c>
      <c r="B71" t="s">
        <v>8</v>
      </c>
      <c r="C71" t="s">
        <v>12</v>
      </c>
      <c r="E71" t="s">
        <v>97</v>
      </c>
      <c r="F71">
        <v>279000</v>
      </c>
    </row>
    <row r="72" spans="1:6" x14ac:dyDescent="0.3">
      <c r="A72" s="4">
        <v>46139</v>
      </c>
      <c r="B72" t="s">
        <v>8</v>
      </c>
      <c r="C72" t="s">
        <v>11</v>
      </c>
      <c r="D72" t="s">
        <v>60</v>
      </c>
      <c r="E72" t="s">
        <v>95</v>
      </c>
      <c r="F72">
        <v>50000</v>
      </c>
    </row>
    <row r="73" spans="1:6" x14ac:dyDescent="0.3">
      <c r="A73" s="4">
        <v>46136</v>
      </c>
      <c r="B73" t="s">
        <v>9</v>
      </c>
      <c r="C73" t="s">
        <v>12</v>
      </c>
      <c r="D73" t="s">
        <v>55</v>
      </c>
      <c r="E73" t="s">
        <v>112</v>
      </c>
      <c r="F73">
        <v>175091</v>
      </c>
    </row>
    <row r="74" spans="1:6" x14ac:dyDescent="0.3">
      <c r="A74" s="4">
        <v>46136</v>
      </c>
      <c r="B74" t="s">
        <v>9</v>
      </c>
      <c r="C74" t="s">
        <v>12</v>
      </c>
      <c r="D74" t="s">
        <v>55</v>
      </c>
      <c r="E74" t="s">
        <v>113</v>
      </c>
      <c r="F74">
        <v>33000</v>
      </c>
    </row>
    <row r="75" spans="1:6" x14ac:dyDescent="0.3">
      <c r="A75" s="4">
        <v>46141</v>
      </c>
      <c r="B75" t="s">
        <v>9</v>
      </c>
      <c r="C75" t="s">
        <v>10</v>
      </c>
      <c r="D75" t="s">
        <v>84</v>
      </c>
      <c r="E75" t="s">
        <v>114</v>
      </c>
      <c r="F75">
        <v>10000</v>
      </c>
    </row>
    <row r="76" spans="1:6" x14ac:dyDescent="0.3">
      <c r="A76" s="4">
        <v>46141</v>
      </c>
      <c r="B76" t="s">
        <v>9</v>
      </c>
      <c r="C76" t="s">
        <v>10</v>
      </c>
      <c r="D76" t="s">
        <v>84</v>
      </c>
      <c r="E76" t="s">
        <v>115</v>
      </c>
      <c r="F76">
        <v>8000</v>
      </c>
    </row>
    <row r="77" spans="1:6" x14ac:dyDescent="0.3">
      <c r="A77" s="4">
        <v>46142</v>
      </c>
      <c r="B77" t="s">
        <v>9</v>
      </c>
      <c r="C77" t="s">
        <v>10</v>
      </c>
      <c r="D77" t="s">
        <v>84</v>
      </c>
      <c r="E77" t="s">
        <v>111</v>
      </c>
      <c r="F77">
        <v>22000</v>
      </c>
    </row>
    <row r="78" spans="1:6" x14ac:dyDescent="0.3">
      <c r="A78" s="4">
        <v>46142</v>
      </c>
      <c r="B78" t="s">
        <v>9</v>
      </c>
      <c r="C78" t="s">
        <v>10</v>
      </c>
      <c r="D78" t="s">
        <v>84</v>
      </c>
      <c r="E78" t="s">
        <v>109</v>
      </c>
      <c r="F78">
        <v>250000</v>
      </c>
    </row>
    <row r="79" spans="1:6" x14ac:dyDescent="0.3">
      <c r="A79" s="4">
        <v>46142</v>
      </c>
      <c r="B79" t="s">
        <v>9</v>
      </c>
      <c r="C79" t="s">
        <v>10</v>
      </c>
      <c r="D79" t="s">
        <v>84</v>
      </c>
      <c r="E79" t="s">
        <v>116</v>
      </c>
      <c r="F79">
        <v>300000</v>
      </c>
    </row>
    <row r="80" spans="1:6" x14ac:dyDescent="0.3">
      <c r="A80" s="4">
        <v>46142</v>
      </c>
      <c r="B80" t="s">
        <v>9</v>
      </c>
      <c r="C80" t="s">
        <v>10</v>
      </c>
      <c r="D80" t="s">
        <v>84</v>
      </c>
      <c r="E80" t="s">
        <v>110</v>
      </c>
      <c r="F80">
        <v>190000</v>
      </c>
    </row>
    <row r="81" spans="1:6" x14ac:dyDescent="0.3">
      <c r="A81" s="4">
        <v>46142</v>
      </c>
      <c r="B81" t="s">
        <v>9</v>
      </c>
      <c r="C81" t="s">
        <v>10</v>
      </c>
      <c r="D81" t="s">
        <v>84</v>
      </c>
      <c r="E81" t="s">
        <v>116</v>
      </c>
      <c r="F81">
        <v>300000</v>
      </c>
    </row>
    <row r="82" spans="1:6" x14ac:dyDescent="0.3">
      <c r="A82" s="4">
        <v>46142</v>
      </c>
      <c r="B82" t="s">
        <v>9</v>
      </c>
      <c r="C82" t="s">
        <v>10</v>
      </c>
      <c r="D82" t="s">
        <v>84</v>
      </c>
      <c r="E82" t="s">
        <v>117</v>
      </c>
      <c r="F82">
        <v>30000</v>
      </c>
    </row>
    <row r="83" spans="1:6" x14ac:dyDescent="0.3">
      <c r="A83" s="4">
        <v>46142</v>
      </c>
      <c r="B83" t="s">
        <v>9</v>
      </c>
      <c r="C83" t="s">
        <v>12</v>
      </c>
      <c r="E83" t="s">
        <v>118</v>
      </c>
      <c r="F83">
        <v>39000</v>
      </c>
    </row>
    <row r="84" spans="1:6" x14ac:dyDescent="0.3">
      <c r="A84" s="4">
        <v>46143</v>
      </c>
      <c r="B84" t="s">
        <v>8</v>
      </c>
      <c r="C84" t="s">
        <v>12</v>
      </c>
      <c r="E84" t="s">
        <v>119</v>
      </c>
      <c r="F84">
        <v>25000</v>
      </c>
    </row>
    <row r="85" spans="1:6" x14ac:dyDescent="0.3">
      <c r="A85" s="4">
        <v>46143</v>
      </c>
      <c r="B85" t="s">
        <v>9</v>
      </c>
      <c r="C85" t="s">
        <v>12</v>
      </c>
      <c r="E85" t="s">
        <v>120</v>
      </c>
      <c r="F85">
        <v>25000</v>
      </c>
    </row>
    <row r="86" spans="1:6" x14ac:dyDescent="0.3">
      <c r="A86" s="4">
        <v>46143</v>
      </c>
      <c r="B86" t="s">
        <v>9</v>
      </c>
      <c r="C86" t="s">
        <v>12</v>
      </c>
      <c r="E86" t="s">
        <v>121</v>
      </c>
      <c r="F86">
        <v>33500</v>
      </c>
    </row>
    <row r="87" spans="1:6" x14ac:dyDescent="0.3">
      <c r="A87" s="4">
        <v>46143</v>
      </c>
      <c r="B87" t="s">
        <v>9</v>
      </c>
      <c r="C87" t="s">
        <v>11</v>
      </c>
      <c r="D87" t="s">
        <v>60</v>
      </c>
      <c r="E87" t="s">
        <v>122</v>
      </c>
      <c r="F87">
        <v>40000</v>
      </c>
    </row>
    <row r="88" spans="1:6" x14ac:dyDescent="0.3">
      <c r="A88" s="4">
        <v>46143</v>
      </c>
      <c r="B88" t="s">
        <v>8</v>
      </c>
      <c r="C88" t="s">
        <v>11</v>
      </c>
      <c r="D88" t="s">
        <v>60</v>
      </c>
      <c r="E88" t="s">
        <v>123</v>
      </c>
      <c r="F88">
        <v>25000</v>
      </c>
    </row>
    <row r="89" spans="1:6" x14ac:dyDescent="0.3">
      <c r="A89" s="4">
        <v>46144</v>
      </c>
      <c r="B89" t="s">
        <v>9</v>
      </c>
      <c r="C89" t="s">
        <v>12</v>
      </c>
      <c r="E89" t="s">
        <v>124</v>
      </c>
      <c r="F89">
        <v>8000</v>
      </c>
    </row>
    <row r="90" spans="1:6" x14ac:dyDescent="0.3">
      <c r="A90" s="4">
        <v>46144</v>
      </c>
      <c r="B90" t="s">
        <v>9</v>
      </c>
      <c r="C90" t="s">
        <v>12</v>
      </c>
      <c r="E90" t="s">
        <v>125</v>
      </c>
      <c r="F90">
        <v>29250</v>
      </c>
    </row>
    <row r="91" spans="1:6" x14ac:dyDescent="0.3">
      <c r="A91" s="4">
        <v>46144</v>
      </c>
      <c r="B91" t="s">
        <v>9</v>
      </c>
      <c r="C91" t="s">
        <v>12</v>
      </c>
      <c r="E91" t="s">
        <v>126</v>
      </c>
      <c r="F91">
        <v>43000</v>
      </c>
    </row>
    <row r="92" spans="1:6" x14ac:dyDescent="0.3">
      <c r="A92" s="4">
        <v>46144</v>
      </c>
      <c r="B92" t="s">
        <v>9</v>
      </c>
      <c r="C92" t="s">
        <v>12</v>
      </c>
      <c r="E92" t="s">
        <v>127</v>
      </c>
      <c r="F92">
        <v>10000</v>
      </c>
    </row>
    <row r="93" spans="1:6" x14ac:dyDescent="0.3">
      <c r="A93" s="4">
        <v>46144</v>
      </c>
      <c r="B93" t="s">
        <v>9</v>
      </c>
      <c r="C93" t="s">
        <v>12</v>
      </c>
      <c r="E93" t="s">
        <v>128</v>
      </c>
      <c r="F93">
        <v>10000</v>
      </c>
    </row>
    <row r="94" spans="1:6" x14ac:dyDescent="0.3">
      <c r="A94" s="4">
        <v>46144</v>
      </c>
      <c r="B94" t="s">
        <v>9</v>
      </c>
      <c r="C94" t="s">
        <v>12</v>
      </c>
      <c r="E94" t="s">
        <v>129</v>
      </c>
      <c r="F94">
        <v>25000</v>
      </c>
    </row>
    <row r="95" spans="1:6" x14ac:dyDescent="0.3">
      <c r="A95" s="4">
        <v>46145</v>
      </c>
      <c r="B95" t="s">
        <v>9</v>
      </c>
      <c r="C95" t="s">
        <v>12</v>
      </c>
      <c r="E95" t="s">
        <v>130</v>
      </c>
      <c r="F95">
        <v>2000</v>
      </c>
    </row>
    <row r="96" spans="1:6" x14ac:dyDescent="0.3">
      <c r="A96" s="4">
        <v>46146</v>
      </c>
      <c r="B96" t="s">
        <v>9</v>
      </c>
      <c r="C96" t="s">
        <v>12</v>
      </c>
      <c r="E96" t="s">
        <v>131</v>
      </c>
      <c r="F96">
        <v>100000</v>
      </c>
    </row>
    <row r="97" spans="1:6" x14ac:dyDescent="0.3">
      <c r="A97" s="4">
        <v>46147</v>
      </c>
      <c r="B97" t="s">
        <v>9</v>
      </c>
      <c r="C97" t="s">
        <v>10</v>
      </c>
      <c r="E97" t="s">
        <v>16</v>
      </c>
      <c r="F97">
        <v>22700</v>
      </c>
    </row>
    <row r="98" spans="1:6" x14ac:dyDescent="0.3">
      <c r="A98" s="4">
        <v>46147</v>
      </c>
      <c r="B98" t="s">
        <v>9</v>
      </c>
      <c r="C98" t="s">
        <v>10</v>
      </c>
      <c r="E98" t="s">
        <v>132</v>
      </c>
      <c r="F98">
        <v>19000</v>
      </c>
    </row>
    <row r="99" spans="1:6" x14ac:dyDescent="0.3">
      <c r="A99" s="4">
        <v>46147</v>
      </c>
      <c r="B99" t="s">
        <v>8</v>
      </c>
      <c r="C99" t="s">
        <v>11</v>
      </c>
      <c r="D99" t="s">
        <v>60</v>
      </c>
      <c r="E99" t="s">
        <v>95</v>
      </c>
      <c r="F99">
        <v>53000</v>
      </c>
    </row>
    <row r="100" spans="1:6" x14ac:dyDescent="0.3">
      <c r="A100" s="4">
        <v>46147</v>
      </c>
      <c r="B100" t="s">
        <v>8</v>
      </c>
      <c r="C100" t="s">
        <v>11</v>
      </c>
      <c r="D100" t="s">
        <v>60</v>
      </c>
      <c r="E100" t="s">
        <v>95</v>
      </c>
      <c r="F100">
        <v>27000</v>
      </c>
    </row>
    <row r="101" spans="1:6" x14ac:dyDescent="0.3">
      <c r="A101" s="4">
        <v>46148</v>
      </c>
      <c r="B101" t="s">
        <v>9</v>
      </c>
      <c r="C101" t="s">
        <v>10</v>
      </c>
      <c r="D101" t="s">
        <v>84</v>
      </c>
      <c r="E101" t="s">
        <v>133</v>
      </c>
      <c r="F101">
        <v>2000</v>
      </c>
    </row>
    <row r="102" spans="1:6" x14ac:dyDescent="0.3">
      <c r="A102" s="4">
        <v>46148</v>
      </c>
      <c r="B102" t="s">
        <v>9</v>
      </c>
      <c r="C102" t="s">
        <v>10</v>
      </c>
      <c r="D102" t="s">
        <v>135</v>
      </c>
      <c r="E102" t="s">
        <v>134</v>
      </c>
      <c r="F102">
        <v>8000</v>
      </c>
    </row>
    <row r="103" spans="1:6" x14ac:dyDescent="0.3">
      <c r="A103" s="4">
        <v>46148</v>
      </c>
      <c r="B103" t="s">
        <v>9</v>
      </c>
      <c r="C103" t="s">
        <v>12</v>
      </c>
      <c r="E103" t="s">
        <v>136</v>
      </c>
      <c r="F103">
        <v>8000</v>
      </c>
    </row>
    <row r="104" spans="1:6" x14ac:dyDescent="0.3">
      <c r="A104" s="4">
        <v>46148</v>
      </c>
      <c r="B104" t="s">
        <v>9</v>
      </c>
      <c r="C104" t="s">
        <v>12</v>
      </c>
      <c r="E104" t="s">
        <v>76</v>
      </c>
      <c r="F104">
        <v>2000</v>
      </c>
    </row>
    <row r="105" spans="1:6" x14ac:dyDescent="0.3">
      <c r="A105" s="4">
        <v>46148</v>
      </c>
      <c r="B105" t="s">
        <v>9</v>
      </c>
      <c r="C105" t="s">
        <v>12</v>
      </c>
      <c r="E105" t="s">
        <v>137</v>
      </c>
      <c r="F105">
        <v>10000</v>
      </c>
    </row>
    <row r="106" spans="1:6" x14ac:dyDescent="0.3">
      <c r="A106" s="4">
        <v>46148</v>
      </c>
      <c r="B106" t="s">
        <v>9</v>
      </c>
      <c r="C106" t="s">
        <v>12</v>
      </c>
      <c r="E106" t="s">
        <v>96</v>
      </c>
      <c r="F106">
        <v>14000</v>
      </c>
    </row>
    <row r="107" spans="1:6" x14ac:dyDescent="0.3">
      <c r="A107" s="4">
        <v>46148</v>
      </c>
      <c r="B107" t="s">
        <v>8</v>
      </c>
      <c r="C107" t="s">
        <v>11</v>
      </c>
      <c r="D107" t="s">
        <v>60</v>
      </c>
      <c r="E107" t="s">
        <v>82</v>
      </c>
      <c r="F107">
        <v>69000</v>
      </c>
    </row>
    <row r="108" spans="1:6" x14ac:dyDescent="0.3">
      <c r="A108" s="4">
        <v>46149</v>
      </c>
      <c r="B108" t="s">
        <v>9</v>
      </c>
      <c r="C108" t="s">
        <v>12</v>
      </c>
      <c r="E108" t="s">
        <v>138</v>
      </c>
      <c r="F108">
        <v>85000</v>
      </c>
    </row>
    <row r="109" spans="1:6" x14ac:dyDescent="0.3">
      <c r="A109" s="4">
        <v>46149</v>
      </c>
      <c r="B109" t="s">
        <v>9</v>
      </c>
      <c r="C109" t="s">
        <v>12</v>
      </c>
      <c r="E109" t="s">
        <v>139</v>
      </c>
      <c r="F109">
        <v>143000</v>
      </c>
    </row>
    <row r="110" spans="1:6" x14ac:dyDescent="0.3">
      <c r="A110" s="4">
        <v>46149</v>
      </c>
      <c r="B110" t="s">
        <v>9</v>
      </c>
      <c r="C110" t="s">
        <v>12</v>
      </c>
      <c r="E110" t="s">
        <v>140</v>
      </c>
      <c r="F110">
        <v>46000</v>
      </c>
    </row>
    <row r="111" spans="1:6" x14ac:dyDescent="0.3">
      <c r="A111" s="4">
        <v>46149</v>
      </c>
      <c r="B111" t="s">
        <v>9</v>
      </c>
      <c r="C111" t="s">
        <v>12</v>
      </c>
      <c r="E111" t="s">
        <v>76</v>
      </c>
      <c r="F111">
        <v>2000</v>
      </c>
    </row>
    <row r="112" spans="1:6" x14ac:dyDescent="0.3">
      <c r="A112" s="4">
        <v>46149</v>
      </c>
      <c r="B112" t="s">
        <v>9</v>
      </c>
      <c r="C112" t="s">
        <v>12</v>
      </c>
      <c r="E112" t="s">
        <v>141</v>
      </c>
      <c r="F112">
        <v>28000</v>
      </c>
    </row>
    <row r="113" spans="1:6" x14ac:dyDescent="0.3">
      <c r="A113" s="4">
        <v>46149</v>
      </c>
      <c r="B113" t="s">
        <v>9</v>
      </c>
      <c r="C113" t="s">
        <v>12</v>
      </c>
      <c r="E113" t="s">
        <v>76</v>
      </c>
      <c r="F113">
        <v>3000</v>
      </c>
    </row>
    <row r="114" spans="1:6" x14ac:dyDescent="0.3">
      <c r="A114" s="4">
        <v>46149</v>
      </c>
      <c r="B114" t="s">
        <v>9</v>
      </c>
      <c r="C114" t="s">
        <v>12</v>
      </c>
      <c r="E114" t="s">
        <v>142</v>
      </c>
      <c r="F114">
        <v>220000</v>
      </c>
    </row>
    <row r="115" spans="1:6" x14ac:dyDescent="0.3">
      <c r="A115" s="4">
        <v>46150</v>
      </c>
      <c r="B115" t="s">
        <v>9</v>
      </c>
      <c r="C115" t="s">
        <v>12</v>
      </c>
      <c r="E115" t="s">
        <v>96</v>
      </c>
      <c r="F115">
        <v>17200</v>
      </c>
    </row>
    <row r="116" spans="1:6" x14ac:dyDescent="0.3">
      <c r="A116" s="4">
        <v>46150</v>
      </c>
      <c r="B116" t="s">
        <v>9</v>
      </c>
      <c r="C116" t="s">
        <v>12</v>
      </c>
      <c r="E116" t="s">
        <v>76</v>
      </c>
      <c r="F116">
        <v>1500</v>
      </c>
    </row>
    <row r="117" spans="1:6" x14ac:dyDescent="0.3">
      <c r="A117" s="4">
        <v>46151</v>
      </c>
      <c r="B117" t="s">
        <v>9</v>
      </c>
      <c r="C117" t="s">
        <v>12</v>
      </c>
      <c r="E117" t="s">
        <v>143</v>
      </c>
      <c r="F117">
        <v>19000</v>
      </c>
    </row>
    <row r="118" spans="1:6" x14ac:dyDescent="0.3">
      <c r="A118" s="4">
        <v>46151</v>
      </c>
      <c r="B118" t="s">
        <v>9</v>
      </c>
      <c r="C118" t="s">
        <v>12</v>
      </c>
      <c r="E118" t="s">
        <v>85</v>
      </c>
      <c r="F118">
        <v>13000</v>
      </c>
    </row>
    <row r="119" spans="1:6" x14ac:dyDescent="0.3">
      <c r="A119" s="4">
        <v>46151</v>
      </c>
      <c r="B119" t="s">
        <v>9</v>
      </c>
      <c r="C119" t="s">
        <v>12</v>
      </c>
      <c r="E119" t="s">
        <v>63</v>
      </c>
      <c r="F119">
        <v>28000</v>
      </c>
    </row>
    <row r="120" spans="1:6" x14ac:dyDescent="0.3">
      <c r="A120" s="4">
        <v>46152</v>
      </c>
      <c r="B120" t="s">
        <v>9</v>
      </c>
      <c r="C120" t="s">
        <v>10</v>
      </c>
      <c r="E120" t="s">
        <v>144</v>
      </c>
      <c r="F120">
        <v>20000</v>
      </c>
    </row>
    <row r="121" spans="1:6" x14ac:dyDescent="0.3">
      <c r="A121" s="4">
        <v>46152</v>
      </c>
      <c r="B121" t="s">
        <v>8</v>
      </c>
      <c r="C121" t="s">
        <v>12</v>
      </c>
      <c r="E121" t="s">
        <v>145</v>
      </c>
      <c r="F121">
        <v>80000</v>
      </c>
    </row>
    <row r="122" spans="1:6" x14ac:dyDescent="0.3">
      <c r="A122" s="4">
        <v>46152</v>
      </c>
      <c r="B122" t="s">
        <v>9</v>
      </c>
      <c r="C122" t="s">
        <v>12</v>
      </c>
      <c r="E122" t="s">
        <v>146</v>
      </c>
      <c r="F122">
        <v>23000</v>
      </c>
    </row>
    <row r="123" spans="1:6" x14ac:dyDescent="0.3">
      <c r="A123" s="4">
        <v>46152</v>
      </c>
      <c r="B123" t="s">
        <v>9</v>
      </c>
      <c r="C123" t="s">
        <v>12</v>
      </c>
      <c r="E123" t="s">
        <v>127</v>
      </c>
      <c r="F123">
        <v>5000</v>
      </c>
    </row>
    <row r="124" spans="1:6" x14ac:dyDescent="0.3">
      <c r="A124" s="4">
        <v>46152</v>
      </c>
      <c r="B124" t="s">
        <v>9</v>
      </c>
      <c r="C124" t="s">
        <v>11</v>
      </c>
      <c r="E124" t="s">
        <v>59</v>
      </c>
      <c r="F124">
        <v>30000</v>
      </c>
    </row>
    <row r="125" spans="1:6" x14ac:dyDescent="0.3">
      <c r="A125" s="4">
        <v>46152</v>
      </c>
      <c r="B125" t="s">
        <v>9</v>
      </c>
      <c r="C125" t="s">
        <v>12</v>
      </c>
      <c r="E125" t="s">
        <v>147</v>
      </c>
      <c r="F125">
        <v>9300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15" customWidth="1"/>
    <col min="2" max="2" width="11.6640625" customWidth="1"/>
    <col min="4" max="4" width="23.109375" customWidth="1"/>
    <col min="5" max="5" width="12" customWidth="1"/>
  </cols>
  <sheetData>
    <row r="1" spans="1:6" x14ac:dyDescent="0.3">
      <c r="A1" s="3" t="s">
        <v>17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5" spans="1:6" x14ac:dyDescent="0.3">
      <c r="A5" s="1" t="s">
        <v>18</v>
      </c>
      <c r="B5" s="2">
        <f>SUMIF(REGISTROS!B:B,"Entrada",REGISTROS!F:F)-SUMIF(REGISTROS!B:B,"Gasto",REGISTROS!F:F)</f>
        <v>2411637</v>
      </c>
      <c r="D5" s="1" t="s">
        <v>21</v>
      </c>
    </row>
    <row r="6" spans="1:6" x14ac:dyDescent="0.3">
      <c r="A6" s="1" t="s">
        <v>19</v>
      </c>
      <c r="B6" s="2">
        <f>SUMIF(REGISTROS!B:B,"Entrada",REGISTROS!F:F)</f>
        <v>8457000</v>
      </c>
      <c r="D6" t="s">
        <v>22</v>
      </c>
      <c r="E6" s="2">
        <f>B5*0.4</f>
        <v>964654.8</v>
      </c>
    </row>
    <row r="7" spans="1:6" x14ac:dyDescent="0.3">
      <c r="A7" s="1" t="s">
        <v>20</v>
      </c>
      <c r="B7" s="2">
        <f>SUMIF(REGISTROS!B:B,"Gasto",REGISTROS!F:F)</f>
        <v>6045363</v>
      </c>
      <c r="D7" t="s">
        <v>23</v>
      </c>
      <c r="E7" s="2">
        <f>B5*0.3</f>
        <v>723491.1</v>
      </c>
    </row>
    <row r="8" spans="1:6" x14ac:dyDescent="0.3">
      <c r="A8" s="1" t="s">
        <v>10</v>
      </c>
      <c r="B8" s="2">
        <f>SUMIFS(REGISTROS!F:F,REGISTROS!C:C,"Consultoría",REGISTROS!B:B,"Entrada")-SUMIFS(REGISTROS!F:F,REGISTROS!C:C,"Consultoría",REGISTROS!B:B,"Gasto")</f>
        <v>4398896</v>
      </c>
      <c r="D8" t="s">
        <v>24</v>
      </c>
      <c r="E8" s="2">
        <f>B5*0.2</f>
        <v>482327.4</v>
      </c>
    </row>
    <row r="9" spans="1:6" x14ac:dyDescent="0.3">
      <c r="A9" s="1" t="s">
        <v>11</v>
      </c>
      <c r="B9" s="2">
        <f>SUMIFS(REGISTROS!F:F,REGISTROS!C:C,"Yogurt",REGISTROS!B:B,"Entrada")-SUMIFS(REGISTROS!F:F,REGISTROS!C:C,"Yogurt",REGISTROS!B:B,"Gasto")</f>
        <v>206440</v>
      </c>
      <c r="D9" t="s">
        <v>25</v>
      </c>
      <c r="E9" s="2">
        <f>B5*0.1</f>
        <v>241163.7</v>
      </c>
    </row>
    <row r="10" spans="1:6" x14ac:dyDescent="0.3">
      <c r="A10" s="1" t="s">
        <v>12</v>
      </c>
      <c r="B10" s="2">
        <f>SUMIFS(REGISTROS!F:F,REGISTROS!C:C,"Personal",REGISTROS!B:B,"Gasto")</f>
        <v>2227699</v>
      </c>
    </row>
  </sheetData>
  <mergeCells count="1">
    <mergeCell ref="A1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A7" sqref="A7"/>
    </sheetView>
  </sheetViews>
  <sheetFormatPr baseColWidth="10" defaultColWidth="8.88671875" defaultRowHeight="14.4" x14ac:dyDescent="0.3"/>
  <cols>
    <col min="2" max="2" width="13.88671875" customWidth="1"/>
    <col min="3" max="3" width="13" customWidth="1"/>
    <col min="4" max="4" width="12.6640625" customWidth="1"/>
  </cols>
  <sheetData>
    <row r="1" spans="1:6" x14ac:dyDescent="0.3">
      <c r="A1" s="3" t="s">
        <v>26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5" spans="1:6" x14ac:dyDescent="0.3">
      <c r="A5" s="1" t="s">
        <v>3</v>
      </c>
      <c r="B5" s="1" t="s">
        <v>27</v>
      </c>
      <c r="C5" s="1" t="s">
        <v>28</v>
      </c>
      <c r="D5" s="1" t="s">
        <v>29</v>
      </c>
      <c r="E5" s="1" t="s">
        <v>30</v>
      </c>
    </row>
    <row r="6" spans="1:6" x14ac:dyDescent="0.3">
      <c r="A6" t="s">
        <v>13</v>
      </c>
      <c r="B6" s="2">
        <f>SUMIFS(REGISTROS!F:F,REGISTROS!D:D,"Corponor",REGISTROS!B:B,"Entrada")</f>
        <v>0</v>
      </c>
      <c r="C6" s="2">
        <f>SUMIFS(REGISTROS!F:F,REGISTROS!D:D,"Corponor",REGISTROS!B:B,"Gasto")</f>
        <v>0</v>
      </c>
      <c r="D6" s="2">
        <f>B6-C6</f>
        <v>0</v>
      </c>
      <c r="E6">
        <f>IF(B6=0,0,D6/B6)</f>
        <v>0</v>
      </c>
    </row>
    <row r="7" spans="1:6" x14ac:dyDescent="0.3">
      <c r="A7" t="s">
        <v>14</v>
      </c>
      <c r="B7" s="2">
        <f>SUMIFS(REGISTROS!F:F,REGISTROS!D:D,"Sacyr",REGISTROS!B:B,"Entrada")</f>
        <v>0</v>
      </c>
      <c r="C7" s="2">
        <f>SUMIFS(REGISTROS!F:F,REGISTROS!D:D,"Sacyr",REGISTROS!B:B,"Gasto")</f>
        <v>104557</v>
      </c>
      <c r="D7" s="2">
        <f>B7-C7</f>
        <v>-104557</v>
      </c>
      <c r="E7">
        <f>IF(B7=0,0,D7/B7)</f>
        <v>0</v>
      </c>
    </row>
    <row r="8" spans="1:6" x14ac:dyDescent="0.3">
      <c r="A8" t="s">
        <v>31</v>
      </c>
      <c r="B8" s="2">
        <f>SUMIFS(REGISTROS!F:F,REGISTROS!D:D,"San Roque",REGISTROS!B:B,"Entrada")</f>
        <v>0</v>
      </c>
      <c r="C8" s="2">
        <f>SUMIFS(REGISTROS!F:F,REGISTROS!D:D,"San Roque",REGISTROS!B:B,"Gasto")</f>
        <v>5000</v>
      </c>
      <c r="D8" s="2">
        <f>B8-C8</f>
        <v>-5000</v>
      </c>
      <c r="E8">
        <f>IF(B8=0,0,D8/B8)</f>
        <v>0</v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B7" sqref="B7"/>
    </sheetView>
  </sheetViews>
  <sheetFormatPr baseColWidth="10" defaultColWidth="8.88671875" defaultRowHeight="14.4" x14ac:dyDescent="0.3"/>
  <cols>
    <col min="2" max="2" width="13.88671875" customWidth="1"/>
  </cols>
  <sheetData>
    <row r="1" spans="1:6" x14ac:dyDescent="0.3">
      <c r="A1" s="3" t="s">
        <v>32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5" spans="1:6" x14ac:dyDescent="0.3">
      <c r="A5" s="1" t="s">
        <v>33</v>
      </c>
      <c r="B5" s="1" t="s">
        <v>5</v>
      </c>
    </row>
    <row r="6" spans="1:6" x14ac:dyDescent="0.3">
      <c r="A6" t="s">
        <v>27</v>
      </c>
      <c r="B6" s="2">
        <f>SUMIFS(REGISTROS!F:F,REGISTROS!C:C,"Yogurt",REGISTROS!B:B,"Entrada")</f>
        <v>509000</v>
      </c>
    </row>
    <row r="7" spans="1:6" x14ac:dyDescent="0.3">
      <c r="A7" t="s">
        <v>28</v>
      </c>
      <c r="B7" s="2">
        <f>SUMIFS(REGISTROS!F:F,REGISTROS!C:C,"Yogurt",REGISTROS!B:B,"Gasto")</f>
        <v>302560</v>
      </c>
    </row>
    <row r="8" spans="1:6" x14ac:dyDescent="0.3">
      <c r="A8" t="s">
        <v>29</v>
      </c>
      <c r="B8" s="2">
        <f>B6-B7</f>
        <v>206440</v>
      </c>
    </row>
    <row r="9" spans="1:6" x14ac:dyDescent="0.3">
      <c r="A9" t="s">
        <v>30</v>
      </c>
      <c r="B9">
        <f>IF(B6=0,0,B8/B6)</f>
        <v>0.40557956777996068</v>
      </c>
    </row>
    <row r="10" spans="1:6" x14ac:dyDescent="0.3">
      <c r="A10" t="s">
        <v>34</v>
      </c>
      <c r="B10" s="2">
        <f>B8*0.4</f>
        <v>82576</v>
      </c>
    </row>
  </sheetData>
  <mergeCells count="1">
    <mergeCell ref="A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2"/>
    </sheetView>
  </sheetViews>
  <sheetFormatPr baseColWidth="10" defaultColWidth="8.88671875" defaultRowHeight="14.4" x14ac:dyDescent="0.3"/>
  <sheetData>
    <row r="1" spans="1:6" x14ac:dyDescent="0.3">
      <c r="A1" s="3" t="s">
        <v>35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5" spans="1:6" x14ac:dyDescent="0.3">
      <c r="A5" s="1" t="s">
        <v>36</v>
      </c>
      <c r="B5" s="1" t="s">
        <v>5</v>
      </c>
    </row>
    <row r="6" spans="1:6" x14ac:dyDescent="0.3">
      <c r="A6" t="s">
        <v>15</v>
      </c>
      <c r="B6" s="2">
        <f>SUMIFS(REGISTROS!F:F,REGISTROS!D:D,"Pareja")</f>
        <v>0</v>
      </c>
    </row>
    <row r="7" spans="1:6" x14ac:dyDescent="0.3">
      <c r="A7" t="s">
        <v>37</v>
      </c>
      <c r="B7" s="2">
        <f>SUMIFS(REGISTROS!F:F,REGISTROS!D:D,"Bienestar")</f>
        <v>0</v>
      </c>
    </row>
    <row r="8" spans="1:6" x14ac:dyDescent="0.3">
      <c r="A8" t="s">
        <v>38</v>
      </c>
      <c r="B8" s="2">
        <f>SUMIFS(REGISTROS!F:F,REGISTROS!D:D,"Social")</f>
        <v>0</v>
      </c>
    </row>
    <row r="9" spans="1:6" x14ac:dyDescent="0.3">
      <c r="A9" t="s">
        <v>39</v>
      </c>
      <c r="B9" s="2">
        <f>SUMIFS(REGISTROS!F:F,REGISTROS!D:D,"Descanso")</f>
        <v>0</v>
      </c>
    </row>
    <row r="10" spans="1:6" x14ac:dyDescent="0.3">
      <c r="A10" t="s">
        <v>40</v>
      </c>
      <c r="B10" s="2">
        <f>SUMIFS(REGISTROS!F:F,REGISTROS!D:D,"Emocional")</f>
        <v>0</v>
      </c>
    </row>
  </sheetData>
  <mergeCells count="1"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16.77734375" customWidth="1"/>
    <col min="2" max="2" width="14.5546875" customWidth="1"/>
    <col min="4" max="4" width="12.21875" customWidth="1"/>
  </cols>
  <sheetData>
    <row r="1" spans="1:6" x14ac:dyDescent="0.3">
      <c r="A1" s="3" t="s">
        <v>41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5" spans="1:6" x14ac:dyDescent="0.3">
      <c r="A5" s="1" t="s">
        <v>36</v>
      </c>
      <c r="B5" s="1" t="s">
        <v>42</v>
      </c>
      <c r="C5" s="1" t="s">
        <v>43</v>
      </c>
      <c r="D5" s="1" t="s">
        <v>44</v>
      </c>
    </row>
    <row r="6" spans="1:6" x14ac:dyDescent="0.3">
      <c r="A6" t="s">
        <v>45</v>
      </c>
      <c r="B6" s="2">
        <v>1200000</v>
      </c>
      <c r="C6" s="2">
        <f>SUMIF(REGISTROS!B:B,"Gasto",REGISTROS!F:F)</f>
        <v>6045363</v>
      </c>
      <c r="D6" s="2">
        <f>B6-C6</f>
        <v>-4845363</v>
      </c>
    </row>
    <row r="7" spans="1:6" x14ac:dyDescent="0.3">
      <c r="A7" t="s">
        <v>46</v>
      </c>
      <c r="B7" s="2">
        <v>800000</v>
      </c>
      <c r="C7" s="2">
        <f>SUMIF(REGISTROS!B:B,"Gasto",REGISTROS!F:F)</f>
        <v>6045363</v>
      </c>
      <c r="D7" s="2">
        <f>B7-C7</f>
        <v>-5245363</v>
      </c>
    </row>
    <row r="8" spans="1:6" x14ac:dyDescent="0.3">
      <c r="A8" t="s">
        <v>47</v>
      </c>
      <c r="B8" s="2">
        <v>500000</v>
      </c>
      <c r="C8" s="2">
        <f>SUMIF(REGISTROS!B:B,"Gasto",REGISTROS!F:F)</f>
        <v>6045363</v>
      </c>
      <c r="D8" s="2">
        <f>B8-C8</f>
        <v>-5545363</v>
      </c>
    </row>
    <row r="9" spans="1:6" x14ac:dyDescent="0.3">
      <c r="A9" t="s">
        <v>37</v>
      </c>
      <c r="B9" s="2">
        <v>300000</v>
      </c>
      <c r="C9" s="2">
        <f>SUMIF(REGISTROS!B:B,"Gasto",REGISTROS!F:F)</f>
        <v>6045363</v>
      </c>
      <c r="D9" s="2">
        <f>B9-C9</f>
        <v>-5745363</v>
      </c>
    </row>
  </sheetData>
  <mergeCells count="1">
    <mergeCell ref="A1:F2"/>
  </mergeCells>
  <conditionalFormatting sqref="D6:D9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C6" sqref="C6"/>
    </sheetView>
  </sheetViews>
  <sheetFormatPr baseColWidth="10" defaultColWidth="8.88671875" defaultRowHeight="14.4" x14ac:dyDescent="0.3"/>
  <cols>
    <col min="2" max="4" width="19.33203125" customWidth="1"/>
  </cols>
  <sheetData>
    <row r="1" spans="1:6" x14ac:dyDescent="0.3">
      <c r="A1" s="3" t="s">
        <v>48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5" spans="1:6" x14ac:dyDescent="0.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6" x14ac:dyDescent="0.3">
      <c r="A6" t="s">
        <v>54</v>
      </c>
      <c r="B6" s="2">
        <v>5000000</v>
      </c>
      <c r="C6" s="2">
        <f>DASHBOARD!E8</f>
        <v>482327.4</v>
      </c>
      <c r="D6" s="2">
        <f>B6-C6</f>
        <v>4517672.5999999996</v>
      </c>
      <c r="E6">
        <f>C6/B6</f>
        <v>9.6465480000000006E-2</v>
      </c>
    </row>
    <row r="7" spans="1:6" x14ac:dyDescent="0.3">
      <c r="A7" t="s">
        <v>55</v>
      </c>
      <c r="B7" s="2">
        <v>25000000</v>
      </c>
      <c r="C7" s="2">
        <f>DASHBOARD!E8</f>
        <v>482327.4</v>
      </c>
      <c r="D7" s="2">
        <f>B7-C7</f>
        <v>24517672.600000001</v>
      </c>
      <c r="E7">
        <f>C7/B7</f>
        <v>1.9293096000000003E-2</v>
      </c>
    </row>
    <row r="8" spans="1:6" x14ac:dyDescent="0.3">
      <c r="A8" t="s">
        <v>56</v>
      </c>
      <c r="B8" s="2">
        <v>4500000</v>
      </c>
      <c r="C8" s="2">
        <f>DASHBOARD!E8</f>
        <v>482327.4</v>
      </c>
      <c r="D8" s="2">
        <f>B8-C8</f>
        <v>4017672.6</v>
      </c>
      <c r="E8">
        <f>C8/B8</f>
        <v>0.10718386666666667</v>
      </c>
    </row>
    <row r="9" spans="1:6" x14ac:dyDescent="0.3">
      <c r="A9" t="s">
        <v>57</v>
      </c>
      <c r="B9" s="2">
        <v>3200000</v>
      </c>
      <c r="C9" s="2">
        <f>DASHBOARD!E8</f>
        <v>482327.4</v>
      </c>
      <c r="D9" s="2">
        <f>B9-C9</f>
        <v>2717672.6</v>
      </c>
      <c r="E9">
        <f>C9/B9</f>
        <v>0.15072731250000002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REGISTROS</vt:lpstr>
      <vt:lpstr>DASHBOARD</vt:lpstr>
      <vt:lpstr>CONSULTORIA</vt:lpstr>
      <vt:lpstr>YOGURT</vt:lpstr>
      <vt:lpstr>PERSONAL</vt:lpstr>
      <vt:lpstr>PRESUPUESTO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carlos ramirez gil</cp:lastModifiedBy>
  <dcterms:created xsi:type="dcterms:W3CDTF">2026-05-11T08:10:28Z</dcterms:created>
  <dcterms:modified xsi:type="dcterms:W3CDTF">2026-05-11T08:22:52Z</dcterms:modified>
</cp:coreProperties>
</file>