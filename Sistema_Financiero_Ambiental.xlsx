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VIMIENTOS" sheetId="1" r:id="rId1"/>
    <sheet name="DASHBOARD" sheetId="2" r:id="rId2"/>
    <sheet name="PROYECTOS" sheetId="3" r:id="rId3"/>
    <sheet name="YOGURT" sheetId="4" r:id="rId4"/>
    <sheet name="PRESUPUESTO" sheetId="5" r:id="rId5"/>
  </sheets>
  <calcPr calcId="124519" fullCalcOnLoad="1"/>
</workbook>
</file>

<file path=xl/sharedStrings.xml><?xml version="1.0" encoding="utf-8"?>
<sst xmlns="http://schemas.openxmlformats.org/spreadsheetml/2006/main" count="60" uniqueCount="47">
  <si>
    <t>Fecha</t>
  </si>
  <si>
    <t>Tipo</t>
  </si>
  <si>
    <t>Proyecto</t>
  </si>
  <si>
    <t>Categoria</t>
  </si>
  <si>
    <t>Descripcion</t>
  </si>
  <si>
    <t>Valor</t>
  </si>
  <si>
    <t>Metodo_Pago</t>
  </si>
  <si>
    <t>Observaciones</t>
  </si>
  <si>
    <t>SISTEMA FINANCIERO AMBIENTAL</t>
  </si>
  <si>
    <t>Dinero Total</t>
  </si>
  <si>
    <t>Operación</t>
  </si>
  <si>
    <t>Personal</t>
  </si>
  <si>
    <t>Ahorro</t>
  </si>
  <si>
    <t>Yogurt</t>
  </si>
  <si>
    <t>Entradas Totales</t>
  </si>
  <si>
    <t>Gastos Totales</t>
  </si>
  <si>
    <t>Balance General</t>
  </si>
  <si>
    <t>Dinero Disponible</t>
  </si>
  <si>
    <t>CONTROL DE PROYECTOS</t>
  </si>
  <si>
    <t>Ingresos</t>
  </si>
  <si>
    <t>Gastos</t>
  </si>
  <si>
    <t>Utilidad</t>
  </si>
  <si>
    <t>Margen</t>
  </si>
  <si>
    <t>% Operativo</t>
  </si>
  <si>
    <t>Corponor</t>
  </si>
  <si>
    <t>Sacyr</t>
  </si>
  <si>
    <t>San Roque</t>
  </si>
  <si>
    <t>Consultoria</t>
  </si>
  <si>
    <t>NEGOCIO YOGURT</t>
  </si>
  <si>
    <t>Cliente</t>
  </si>
  <si>
    <t>Costos</t>
  </si>
  <si>
    <t>Litros</t>
  </si>
  <si>
    <t>Mejor Cliente</t>
  </si>
  <si>
    <t>Camilo</t>
  </si>
  <si>
    <t>Gold Gym</t>
  </si>
  <si>
    <t>Carlos</t>
  </si>
  <si>
    <t>Mercedes</t>
  </si>
  <si>
    <t>Victor</t>
  </si>
  <si>
    <t>PRESUPUESTO KAKEIBO</t>
  </si>
  <si>
    <t>Presupuesto</t>
  </si>
  <si>
    <t>Gasto Real</t>
  </si>
  <si>
    <t>Disponible</t>
  </si>
  <si>
    <t>% Usado</t>
  </si>
  <si>
    <t>Supervivencia</t>
  </si>
  <si>
    <t>Operacion</t>
  </si>
  <si>
    <t>Crecimiento</t>
  </si>
  <si>
    <t>Bienestar</t>
  </si>
</sst>
</file>

<file path=xl/styles.xml><?xml version="1.0" encoding="utf-8"?>
<styleSheet xmlns="http://schemas.openxmlformats.org/spreadsheetml/2006/main">
  <numFmts count="1">
    <numFmt numFmtId="164" formatCode="$ #,##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164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3">
    <dxf>
      <fill>
        <patternFill>
          <bgColor rgb="FFE2F0D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2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4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Distribución Financiera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Distribución Dinero</c:v>
          </c:tx>
          <c:cat>
            <c:strRef>
              <c:f>DASHBOARD!A6:A9</c:f>
              <c:strCache>
                <c:ptCount val="4"/>
                <c:pt idx="0">
                  <c:v>Operación</c:v>
                </c:pt>
                <c:pt idx="1">
                  <c:v>Personal</c:v>
                </c:pt>
                <c:pt idx="2">
                  <c:v>Ahorro</c:v>
                </c:pt>
                <c:pt idx="3">
                  <c:v>Yogurt</c:v>
                </c:pt>
              </c:strCache>
            </c:strRef>
          </c:cat>
          <c:val>
            <c:numRef>
              <c:f>DASHBOARD!B6:B9</c:f>
              <c:numCache>
                <c:formatCode>General</c:formatCode>
                <c:ptCount val="4"/>
                <c:pt idx="0">
                  <c:v>851200</c:v>
                </c:pt>
                <c:pt idx="1">
                  <c:v>638400</c:v>
                </c:pt>
                <c:pt idx="2">
                  <c:v>425600</c:v>
                </c:pt>
                <c:pt idx="3">
                  <c:v>212800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4</xdr:row>
      <xdr:rowOff>0</xdr:rowOff>
    </xdr:from>
    <xdr:to>
      <xdr:col>14</xdr:col>
      <xdr:colOff>304800</xdr:colOff>
      <xdr:row>18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cols>
    <col min="1" max="1" width="15.7109375" customWidth="1"/>
    <col min="2" max="2" width="12.7109375" customWidth="1"/>
    <col min="3" max="4" width="18.7109375" customWidth="1"/>
    <col min="5" max="5" width="35.7109375" customWidth="1"/>
    <col min="6" max="6" width="15.7109375" customWidth="1"/>
    <col min="7" max="7" width="18.7109375" customWidth="1"/>
    <col min="8" max="8" width="25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6" width="25.7109375" customWidth="1"/>
  </cols>
  <sheetData>
    <row r="1" spans="1:6">
      <c r="A1" s="2" t="s">
        <v>8</v>
      </c>
      <c r="B1" s="2"/>
      <c r="C1" s="2"/>
      <c r="D1" s="2"/>
      <c r="E1" s="2"/>
      <c r="F1" s="2"/>
    </row>
    <row r="2" spans="1:6">
      <c r="A2" s="2"/>
      <c r="B2" s="2"/>
      <c r="C2" s="2"/>
      <c r="D2" s="2"/>
      <c r="E2" s="2"/>
      <c r="F2" s="2"/>
    </row>
    <row r="5" spans="1:6">
      <c r="A5" s="1" t="s">
        <v>9</v>
      </c>
      <c r="B5" s="3">
        <v>2128000</v>
      </c>
      <c r="D5" s="1" t="s">
        <v>14</v>
      </c>
      <c r="E5" s="3">
        <f>SUMIF(MOVIMIENTOS!B:B,"Entrada",MOVIMIENTOS!F:F)</f>
        <v>0</v>
      </c>
    </row>
    <row r="6" spans="1:6">
      <c r="A6" s="1" t="s">
        <v>10</v>
      </c>
      <c r="B6" s="3">
        <v>851200</v>
      </c>
      <c r="D6" s="1" t="s">
        <v>15</v>
      </c>
      <c r="E6" s="3">
        <f>SUMIF(MOVIMIENTOS!B:B,"Gasto",MOVIMIENTOS!F:F)</f>
        <v>0</v>
      </c>
    </row>
    <row r="7" spans="1:6">
      <c r="A7" s="1" t="s">
        <v>11</v>
      </c>
      <c r="B7" s="3">
        <v>638400</v>
      </c>
      <c r="D7" s="1" t="s">
        <v>16</v>
      </c>
      <c r="E7" s="3">
        <f>E5-E6</f>
        <v>0</v>
      </c>
    </row>
    <row r="8" spans="1:6">
      <c r="A8" s="1" t="s">
        <v>12</v>
      </c>
      <c r="B8" s="3">
        <v>425600</v>
      </c>
      <c r="D8" s="1" t="s">
        <v>17</v>
      </c>
      <c r="E8" s="3">
        <f>2128000+E7</f>
        <v>0</v>
      </c>
    </row>
    <row r="9" spans="1:6">
      <c r="A9" s="1" t="s">
        <v>13</v>
      </c>
      <c r="B9" s="3">
        <v>212800</v>
      </c>
    </row>
  </sheetData>
  <mergeCells count="1">
    <mergeCell ref="A1:F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cols>
    <col min="1" max="6" width="22.7109375" customWidth="1"/>
  </cols>
  <sheetData>
    <row r="1" spans="1:6">
      <c r="A1" s="2" t="s">
        <v>18</v>
      </c>
      <c r="B1" s="2"/>
      <c r="C1" s="2"/>
      <c r="D1" s="2"/>
      <c r="E1" s="2"/>
      <c r="F1" s="2"/>
    </row>
    <row r="2" spans="1:6">
      <c r="A2" s="2"/>
      <c r="B2" s="2"/>
      <c r="C2" s="2"/>
      <c r="D2" s="2"/>
      <c r="E2" s="2"/>
      <c r="F2" s="2"/>
    </row>
    <row r="4" spans="1:6">
      <c r="A4" s="1" t="s">
        <v>2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</row>
    <row r="5" spans="1:6">
      <c r="A5" s="4" t="s">
        <v>24</v>
      </c>
      <c r="B5" s="3">
        <f>SUMIFS(MOVIMIENTOS!F:F,MOVIMIENTOS!C:C,"Corponor",MOVIMIENTOS!B:B,"Entrada")</f>
        <v>0</v>
      </c>
      <c r="C5" s="3">
        <f>SUMIFS(MOVIMIENTOS!F:F,MOVIMIENTOS!C:C,"Corponor",MOVIMIENTOS!B:B,"Gasto")</f>
        <v>0</v>
      </c>
      <c r="D5" s="3">
        <f>B5-C5</f>
        <v>0</v>
      </c>
      <c r="E5">
        <f>IF(B5=0,0,D5/B5)</f>
        <v>0</v>
      </c>
      <c r="F5">
        <f>IF(B5=0,0,C5/B5)</f>
        <v>0</v>
      </c>
    </row>
    <row r="6" spans="1:6">
      <c r="A6" s="4" t="s">
        <v>25</v>
      </c>
      <c r="B6" s="3">
        <f>SUMIFS(MOVIMIENTOS!F:F,MOVIMIENTOS!C:C,"Sacyr",MOVIMIENTOS!B:B,"Entrada")</f>
        <v>0</v>
      </c>
      <c r="C6" s="3">
        <f>SUMIFS(MOVIMIENTOS!F:F,MOVIMIENTOS!C:C,"Sacyr",MOVIMIENTOS!B:B,"Gasto")</f>
        <v>0</v>
      </c>
      <c r="D6" s="3">
        <f>B6-C6</f>
        <v>0</v>
      </c>
      <c r="E6">
        <f>IF(B6=0,0,D6/B6)</f>
        <v>0</v>
      </c>
      <c r="F6">
        <f>IF(B6=0,0,C6/B6)</f>
        <v>0</v>
      </c>
    </row>
    <row r="7" spans="1:6">
      <c r="A7" s="4" t="s">
        <v>26</v>
      </c>
      <c r="B7" s="3">
        <f>SUMIFS(MOVIMIENTOS!F:F,MOVIMIENTOS!C:C,"San Roque",MOVIMIENTOS!B:B,"Entrada")</f>
        <v>0</v>
      </c>
      <c r="C7" s="3">
        <f>SUMIFS(MOVIMIENTOS!F:F,MOVIMIENTOS!C:C,"San Roque",MOVIMIENTOS!B:B,"Gasto")</f>
        <v>0</v>
      </c>
      <c r="D7" s="3">
        <f>B7-C7</f>
        <v>0</v>
      </c>
      <c r="E7">
        <f>IF(B7=0,0,D7/B7)</f>
        <v>0</v>
      </c>
      <c r="F7">
        <f>IF(B7=0,0,C7/B7)</f>
        <v>0</v>
      </c>
    </row>
    <row r="8" spans="1:6">
      <c r="A8" s="4" t="s">
        <v>27</v>
      </c>
      <c r="B8" s="3">
        <f>SUMIFS(MOVIMIENTOS!F:F,MOVIMIENTOS!C:C,"Consultoria",MOVIMIENTOS!B:B,"Entrada")</f>
        <v>0</v>
      </c>
      <c r="C8" s="3">
        <f>SUMIFS(MOVIMIENTOS!F:F,MOVIMIENTOS!C:C,"Consultoria",MOVIMIENTOS!B:B,"Gasto")</f>
        <v>0</v>
      </c>
      <c r="D8" s="3">
        <f>B8-C8</f>
        <v>0</v>
      </c>
      <c r="E8">
        <f>IF(B8=0,0,D8/B8)</f>
        <v>0</v>
      </c>
      <c r="F8">
        <f>IF(B8=0,0,C8/B8)</f>
        <v>0</v>
      </c>
    </row>
  </sheetData>
  <mergeCells count="1">
    <mergeCell ref="A1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cols>
    <col min="1" max="7" width="22.7109375" customWidth="1"/>
  </cols>
  <sheetData>
    <row r="1" spans="1:7">
      <c r="A1" s="2" t="s">
        <v>28</v>
      </c>
      <c r="B1" s="2"/>
      <c r="C1" s="2"/>
      <c r="D1" s="2"/>
      <c r="E1" s="2"/>
      <c r="F1" s="2"/>
      <c r="G1" s="2"/>
    </row>
    <row r="2" spans="1:7">
      <c r="A2" s="2"/>
      <c r="B2" s="2"/>
      <c r="C2" s="2"/>
      <c r="D2" s="2"/>
      <c r="E2" s="2"/>
      <c r="F2" s="2"/>
      <c r="G2" s="2"/>
    </row>
    <row r="4" spans="1:7">
      <c r="A4" s="1" t="s">
        <v>29</v>
      </c>
      <c r="B4" s="1" t="s">
        <v>19</v>
      </c>
      <c r="C4" s="1" t="s">
        <v>30</v>
      </c>
      <c r="D4" s="1" t="s">
        <v>21</v>
      </c>
      <c r="E4" s="1" t="s">
        <v>31</v>
      </c>
      <c r="F4" s="1" t="s">
        <v>22</v>
      </c>
      <c r="G4" s="1" t="s">
        <v>32</v>
      </c>
    </row>
    <row r="5" spans="1:7">
      <c r="A5" s="4" t="s">
        <v>33</v>
      </c>
      <c r="B5" s="3">
        <f>SUMIFS(MOVIMIENTOS!F:F,MOVIMIENTOS!C:C,"Yogurt",MOVIMIENTOS!B:B,"Entrada",MOVIMIENTOS!E:E,"*Camilo*")</f>
        <v>0</v>
      </c>
      <c r="C5" s="3">
        <f>SUMIFS(MOVIMIENTOS!F:F,MOVIMIENTOS!C:C,"Yogurt",MOVIMIENTOS!B:B,"Gasto")</f>
        <v>0</v>
      </c>
      <c r="D5" s="3">
        <f>B5-C5</f>
        <v>0</v>
      </c>
      <c r="E5">
        <f>4.5</f>
        <v>0</v>
      </c>
      <c r="F5">
        <f>IF(B5=0,0,D5/B5)</f>
        <v>0</v>
      </c>
    </row>
    <row r="6" spans="1:7">
      <c r="A6" s="4" t="s">
        <v>34</v>
      </c>
      <c r="B6" s="3">
        <f>SUMIFS(MOVIMIENTOS!F:F,MOVIMIENTOS!C:C,"Yogurt",MOVIMIENTOS!B:B,"Entrada",MOVIMIENTOS!E:E,"*Gold Gym*")</f>
        <v>0</v>
      </c>
      <c r="C6" s="3">
        <f>SUMIFS(MOVIMIENTOS!F:F,MOVIMIENTOS!C:C,"Yogurt",MOVIMIENTOS!B:B,"Gasto")</f>
        <v>0</v>
      </c>
      <c r="D6" s="3">
        <f>B6-C6</f>
        <v>0</v>
      </c>
      <c r="E6">
        <f>4.5</f>
        <v>0</v>
      </c>
      <c r="F6">
        <f>IF(B6=0,0,D6/B6)</f>
        <v>0</v>
      </c>
    </row>
    <row r="7" spans="1:7">
      <c r="A7" s="4" t="s">
        <v>35</v>
      </c>
      <c r="B7" s="3">
        <f>SUMIFS(MOVIMIENTOS!F:F,MOVIMIENTOS!C:C,"Yogurt",MOVIMIENTOS!B:B,"Entrada",MOVIMIENTOS!E:E,"*Carlos*")</f>
        <v>0</v>
      </c>
      <c r="C7" s="3">
        <f>SUMIFS(MOVIMIENTOS!F:F,MOVIMIENTOS!C:C,"Yogurt",MOVIMIENTOS!B:B,"Gasto")</f>
        <v>0</v>
      </c>
      <c r="D7" s="3">
        <f>B7-C7</f>
        <v>0</v>
      </c>
      <c r="E7">
        <f>4.5</f>
        <v>0</v>
      </c>
      <c r="F7">
        <f>IF(B7=0,0,D7/B7)</f>
        <v>0</v>
      </c>
    </row>
    <row r="8" spans="1:7">
      <c r="A8" s="4" t="s">
        <v>36</v>
      </c>
      <c r="B8" s="3">
        <f>SUMIFS(MOVIMIENTOS!F:F,MOVIMIENTOS!C:C,"Yogurt",MOVIMIENTOS!B:B,"Entrada",MOVIMIENTOS!E:E,"*Mercedes*")</f>
        <v>0</v>
      </c>
      <c r="C8" s="3">
        <f>SUMIFS(MOVIMIENTOS!F:F,MOVIMIENTOS!C:C,"Yogurt",MOVIMIENTOS!B:B,"Gasto")</f>
        <v>0</v>
      </c>
      <c r="D8" s="3">
        <f>B8-C8</f>
        <v>0</v>
      </c>
      <c r="E8">
        <f>4.5</f>
        <v>0</v>
      </c>
      <c r="F8">
        <f>IF(B8=0,0,D8/B8)</f>
        <v>0</v>
      </c>
    </row>
    <row r="9" spans="1:7">
      <c r="A9" s="4" t="s">
        <v>37</v>
      </c>
      <c r="B9" s="3">
        <f>SUMIFS(MOVIMIENTOS!F:F,MOVIMIENTOS!C:C,"Yogurt",MOVIMIENTOS!B:B,"Entrada",MOVIMIENTOS!E:E,"*Victor*")</f>
        <v>0</v>
      </c>
      <c r="C9" s="3">
        <f>SUMIFS(MOVIMIENTOS!F:F,MOVIMIENTOS!C:C,"Yogurt",MOVIMIENTOS!B:B,"Gasto")</f>
        <v>0</v>
      </c>
      <c r="D9" s="3">
        <f>B9-C9</f>
        <v>0</v>
      </c>
      <c r="E9">
        <f>4.5</f>
        <v>0</v>
      </c>
      <c r="F9">
        <f>IF(B9=0,0,D9/B9)</f>
        <v>0</v>
      </c>
    </row>
  </sheetData>
  <mergeCells count="1">
    <mergeCell ref="A1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cols>
    <col min="1" max="5" width="22.7109375" customWidth="1"/>
  </cols>
  <sheetData>
    <row r="1" spans="1:5">
      <c r="A1" s="2" t="s">
        <v>38</v>
      </c>
      <c r="B1" s="2"/>
      <c r="C1" s="2"/>
      <c r="D1" s="2"/>
      <c r="E1" s="2"/>
    </row>
    <row r="2" spans="1:5">
      <c r="A2" s="2"/>
      <c r="B2" s="2"/>
      <c r="C2" s="2"/>
      <c r="D2" s="2"/>
      <c r="E2" s="2"/>
    </row>
    <row r="4" spans="1:5">
      <c r="A4" s="1" t="s">
        <v>3</v>
      </c>
      <c r="B4" s="1" t="s">
        <v>39</v>
      </c>
      <c r="C4" s="1" t="s">
        <v>40</v>
      </c>
      <c r="D4" s="1" t="s">
        <v>41</v>
      </c>
      <c r="E4" s="1" t="s">
        <v>42</v>
      </c>
    </row>
    <row r="5" spans="1:5">
      <c r="A5" t="s">
        <v>43</v>
      </c>
      <c r="B5" s="3">
        <v>1200000</v>
      </c>
      <c r="C5" s="3">
        <f>SUMIFS(MOVIMIENTOS!F:F,MOVIMIENTOS!D:D,"Supervivencia",MOVIMIENTOS!B:B,"Gasto")</f>
        <v>0</v>
      </c>
      <c r="D5" s="3">
        <f>B5-C5</f>
        <v>0</v>
      </c>
      <c r="E5">
        <f>IF(B5=0,0,C5/B5)</f>
        <v>0</v>
      </c>
    </row>
    <row r="6" spans="1:5">
      <c r="A6" t="s">
        <v>44</v>
      </c>
      <c r="B6" s="3">
        <v>800000</v>
      </c>
      <c r="C6" s="3">
        <f>SUMIFS(MOVIMIENTOS!F:F,MOVIMIENTOS!D:D,"Operacion",MOVIMIENTOS!B:B,"Gasto")</f>
        <v>0</v>
      </c>
      <c r="D6" s="3">
        <f>B6-C6</f>
        <v>0</v>
      </c>
      <c r="E6">
        <f>IF(B6=0,0,C6/B6)</f>
        <v>0</v>
      </c>
    </row>
    <row r="7" spans="1:5">
      <c r="A7" t="s">
        <v>45</v>
      </c>
      <c r="B7" s="3">
        <v>500000</v>
      </c>
      <c r="C7" s="3">
        <f>SUMIFS(MOVIMIENTOS!F:F,MOVIMIENTOS!D:D,"Crecimiento",MOVIMIENTOS!B:B,"Gasto")</f>
        <v>0</v>
      </c>
      <c r="D7" s="3">
        <f>B7-C7</f>
        <v>0</v>
      </c>
      <c r="E7">
        <f>IF(B7=0,0,C7/B7)</f>
        <v>0</v>
      </c>
    </row>
    <row r="8" spans="1:5">
      <c r="A8" t="s">
        <v>46</v>
      </c>
      <c r="B8" s="3">
        <v>300000</v>
      </c>
      <c r="C8" s="3">
        <f>SUMIFS(MOVIMIENTOS!F:F,MOVIMIENTOS!D:D,"Bienestar",MOVIMIENTOS!B:B,"Gasto")</f>
        <v>0</v>
      </c>
      <c r="D8" s="3">
        <f>B8-C8</f>
        <v>0</v>
      </c>
      <c r="E8">
        <f>IF(B8=0,0,C8/B8)</f>
        <v>0</v>
      </c>
    </row>
  </sheetData>
  <mergeCells count="1">
    <mergeCell ref="A1:E2"/>
  </mergeCells>
  <conditionalFormatting sqref="E5:E8">
    <cfRule type="cellIs" dxfId="0" priority="1" operator="lessThanOrEqual">
      <formula>0.7</formula>
    </cfRule>
    <cfRule type="cellIs" dxfId="1" priority="2" operator="between">
      <formula>0.7</formula>
      <formula>1</formula>
    </cfRule>
    <cfRule type="cellIs" dxfId="2" priority="3" operator="greaterThan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MOVIMIENTOS</vt:lpstr>
      <vt:lpstr>DASHBOARD</vt:lpstr>
      <vt:lpstr>PROYECTOS</vt:lpstr>
      <vt:lpstr>YOGURT</vt:lpstr>
      <vt:lpstr>PRESUPUESTO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2026-05-11T07:59:40Z</dcterms:created>
  <dcterms:modified xsi:type="dcterms:W3CDTF">2026-05-11T07:59:40Z</dcterms:modified>
</cp:coreProperties>
</file>