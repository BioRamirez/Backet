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RPONOR 2025\Backet\python_Proyect\Resultados\"/>
    </mc:Choice>
  </mc:AlternateContent>
  <xr:revisionPtr revIDLastSave="0" documentId="13_ncr:1_{1847A133-BE80-4A9A-8905-8F479F78E5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1" i="1" l="1"/>
  <c r="Q31" i="1"/>
  <c r="P31" i="1"/>
  <c r="O31" i="1"/>
  <c r="N31" i="1"/>
  <c r="M31" i="1"/>
</calcChain>
</file>

<file path=xl/sharedStrings.xml><?xml version="1.0" encoding="utf-8"?>
<sst xmlns="http://schemas.openxmlformats.org/spreadsheetml/2006/main" count="53" uniqueCount="45">
  <si>
    <t>Samples</t>
  </si>
  <si>
    <t>Individuals (computed)</t>
  </si>
  <si>
    <t>S(est)</t>
  </si>
  <si>
    <t>S(est) 95% CI Lower Bound</t>
  </si>
  <si>
    <t>S(est) 95% CI Upper Bound</t>
  </si>
  <si>
    <t>S(est) SD</t>
  </si>
  <si>
    <t>S Mean (runs)</t>
  </si>
  <si>
    <t>Singletons Mean</t>
  </si>
  <si>
    <t>Singletons SD (runs)</t>
  </si>
  <si>
    <t>Doubletons Mean</t>
  </si>
  <si>
    <t>Doubletons SD (runs)</t>
  </si>
  <si>
    <t>Uniques Mean</t>
  </si>
  <si>
    <t>Uniques SD (runs)</t>
  </si>
  <si>
    <t>Duplicates Mean</t>
  </si>
  <si>
    <t>Duplicates SD (runs)</t>
  </si>
  <si>
    <t>ACE Mean</t>
  </si>
  <si>
    <t>ACE SD (runs)</t>
  </si>
  <si>
    <t>ICE Mean</t>
  </si>
  <si>
    <t>ICE SD (runs)</t>
  </si>
  <si>
    <t>Chao 1 Mean</t>
  </si>
  <si>
    <t>Chao 1 95% CI Lower Bound</t>
  </si>
  <si>
    <t>Chao 1 95% CI Upper Bound</t>
  </si>
  <si>
    <t>Chao 1 SD (analytical)</t>
  </si>
  <si>
    <t>Chao 2 Mean</t>
  </si>
  <si>
    <t>Chao 2 95% CI Lower Bound</t>
  </si>
  <si>
    <t>Chao 2 95% CI Upper Bound</t>
  </si>
  <si>
    <t>Chao 2 SD (analytical/run)</t>
  </si>
  <si>
    <t>Jack 1 Mean</t>
  </si>
  <si>
    <t>Jack 1 SD (runs)</t>
  </si>
  <si>
    <t>Jack 2 Mean</t>
  </si>
  <si>
    <t>Jack 2 SD (runs)</t>
  </si>
  <si>
    <t>Bootstrap Mean</t>
  </si>
  <si>
    <t>Bootstrap SD (runs)</t>
  </si>
  <si>
    <t>MMRuns Mean</t>
  </si>
  <si>
    <t>MMMeans (1 run)</t>
  </si>
  <si>
    <t>Cole Rarefaction</t>
  </si>
  <si>
    <t>Cole SD (analytical)</t>
  </si>
  <si>
    <t>Alpha Mean</t>
  </si>
  <si>
    <t>Alpha SD (analytical/run)</t>
  </si>
  <si>
    <t>Shannon Mean</t>
  </si>
  <si>
    <t>Shannon SD (runs)</t>
  </si>
  <si>
    <t>Shannon Exponential Mean</t>
  </si>
  <si>
    <t>Shannon Exponential SD (runs)</t>
  </si>
  <si>
    <t>Simpson (Inverse) Mean</t>
  </si>
  <si>
    <t>Simpson (Inverse) SD (runs)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</si>
</sst>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1"/>
  <sheetViews>
    <sheetView tabSelected="1" workbookViewId="0">
      <selection activeCell="H14" sqref="H14"/>
    </sheetView>
  </sheetViews>
  <sheetFormatPr baseColWidth="10" defaultColWidth="8.88671875" defaultRowHeight="14.4" x14ac:dyDescent="0.3"/>
  <cols>
    <col min="2" max="2" width="10.109375" customWidth="1"/>
  </cols>
  <sheetData>
    <row r="1" spans="1:45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">
      <c r="A2" s="3">
        <v>1</v>
      </c>
      <c r="B2" s="3">
        <v>323.66666666666657</v>
      </c>
      <c r="C2" s="3">
        <v>85.87</v>
      </c>
      <c r="D2" s="3">
        <v>18.66486102982898</v>
      </c>
      <c r="E2" s="3">
        <v>153.075138970171</v>
      </c>
      <c r="F2" s="3">
        <v>34.288336209270931</v>
      </c>
      <c r="G2" s="3">
        <v>85.87</v>
      </c>
      <c r="H2" s="3">
        <v>20.440000000000001</v>
      </c>
      <c r="I2" s="3">
        <v>10.23197602290649</v>
      </c>
      <c r="J2" s="3">
        <v>26.64</v>
      </c>
      <c r="K2" s="3">
        <v>9.7778558307261143</v>
      </c>
      <c r="L2" s="3">
        <v>85.87</v>
      </c>
      <c r="M2" s="3">
        <v>34.288336209270931</v>
      </c>
      <c r="N2" s="3">
        <v>0</v>
      </c>
      <c r="O2" s="3">
        <v>0</v>
      </c>
      <c r="P2" s="3">
        <v>181.14440953246111</v>
      </c>
      <c r="Q2" s="3">
        <v>72.408035330193172</v>
      </c>
      <c r="R2" s="3"/>
      <c r="S2" s="3"/>
      <c r="T2" s="3">
        <v>94.991917835454018</v>
      </c>
      <c r="U2" s="3">
        <v>90.472689245347169</v>
      </c>
      <c r="V2" s="3">
        <v>99.511146425560867</v>
      </c>
      <c r="W2" s="3">
        <v>2.3057288725034919</v>
      </c>
      <c r="X2" s="3">
        <v>4311.7299999999996</v>
      </c>
      <c r="Y2" s="3">
        <v>-1015.525225917379</v>
      </c>
      <c r="Z2" s="3">
        <v>9638.9852259173786</v>
      </c>
      <c r="AA2" s="3">
        <v>2717.987360161927</v>
      </c>
      <c r="AB2" s="3">
        <v>85.87</v>
      </c>
      <c r="AC2" s="3">
        <v>34.288336209270931</v>
      </c>
      <c r="AD2" s="3">
        <v>85.87</v>
      </c>
      <c r="AE2" s="3">
        <v>34.288336209270931</v>
      </c>
      <c r="AF2" s="3">
        <v>85.87</v>
      </c>
      <c r="AG2" s="3">
        <v>34.288336209270931</v>
      </c>
      <c r="AH2" s="3">
        <v>85.87</v>
      </c>
      <c r="AI2" s="3">
        <v>34.288336209270931</v>
      </c>
      <c r="AJ2" s="3">
        <v>134.56113614345321</v>
      </c>
      <c r="AK2" s="3">
        <v>2.8564892751865389E-14</v>
      </c>
    </row>
    <row r="3" spans="1:45" x14ac:dyDescent="0.3">
      <c r="A3" s="3">
        <v>2</v>
      </c>
      <c r="B3" s="3">
        <v>647.33333333333326</v>
      </c>
      <c r="C3" s="3">
        <v>136.46</v>
      </c>
      <c r="D3" s="3">
        <v>82.205489733268934</v>
      </c>
      <c r="E3" s="3">
        <v>190.71451026673111</v>
      </c>
      <c r="F3" s="3">
        <v>27.680872585066879</v>
      </c>
      <c r="G3" s="3">
        <v>136.46</v>
      </c>
      <c r="H3" s="3">
        <v>32.25</v>
      </c>
      <c r="I3" s="3">
        <v>9.9314570121326291</v>
      </c>
      <c r="J3" s="3">
        <v>36.42</v>
      </c>
      <c r="K3" s="3">
        <v>5.8537392003968387</v>
      </c>
      <c r="L3" s="3">
        <v>104.95</v>
      </c>
      <c r="M3" s="3">
        <v>17.859934846669312</v>
      </c>
      <c r="N3" s="3">
        <v>31.51</v>
      </c>
      <c r="O3" s="3">
        <v>16.806381063287969</v>
      </c>
      <c r="P3" s="3">
        <v>282.58634582331138</v>
      </c>
      <c r="Q3" s="3">
        <v>55.858879387737993</v>
      </c>
      <c r="R3" s="3"/>
      <c r="S3" s="3"/>
      <c r="T3" s="3">
        <v>152.12039678213731</v>
      </c>
      <c r="U3" s="3">
        <v>145.3534265557744</v>
      </c>
      <c r="V3" s="3">
        <v>158.88736700850009</v>
      </c>
      <c r="W3" s="3">
        <v>3.4525358297769708</v>
      </c>
      <c r="X3" s="3">
        <v>399.42877757362561</v>
      </c>
      <c r="Y3" s="3">
        <v>7.6370710047760886</v>
      </c>
      <c r="Z3" s="3">
        <v>791.22048414247502</v>
      </c>
      <c r="AA3" s="3">
        <v>199.8937278412497</v>
      </c>
      <c r="AB3" s="3">
        <v>188.935</v>
      </c>
      <c r="AC3" s="3">
        <v>35.317867898972793</v>
      </c>
      <c r="AD3" s="3">
        <v>188.935</v>
      </c>
      <c r="AE3" s="3">
        <v>35.317867898972793</v>
      </c>
      <c r="AF3" s="3">
        <v>108.03</v>
      </c>
      <c r="AG3" s="3">
        <v>40.546383216252373</v>
      </c>
      <c r="AH3" s="3">
        <v>136.46</v>
      </c>
      <c r="AI3" s="3">
        <v>27.680872585066879</v>
      </c>
      <c r="AJ3" s="3">
        <v>185.0347441819705</v>
      </c>
      <c r="AK3" s="3">
        <v>8.5694678255596174E-14</v>
      </c>
    </row>
    <row r="4" spans="1:45" x14ac:dyDescent="0.3">
      <c r="A4" s="3">
        <v>3</v>
      </c>
      <c r="B4" s="3">
        <v>971</v>
      </c>
      <c r="C4" s="3">
        <v>172.63</v>
      </c>
      <c r="D4" s="3">
        <v>121.37263767136579</v>
      </c>
      <c r="E4" s="3">
        <v>223.8873623286342</v>
      </c>
      <c r="F4" s="3">
        <v>26.151715473792962</v>
      </c>
      <c r="G4" s="3">
        <v>172.63</v>
      </c>
      <c r="H4" s="3">
        <v>39.229999999999997</v>
      </c>
      <c r="I4" s="3">
        <v>9.6523980377307215</v>
      </c>
      <c r="J4" s="3">
        <v>41.02</v>
      </c>
      <c r="K4" s="3">
        <v>4.750289730664071</v>
      </c>
      <c r="L4" s="3">
        <v>110.91</v>
      </c>
      <c r="M4" s="3">
        <v>13.77532195447696</v>
      </c>
      <c r="N4" s="3">
        <v>41.75</v>
      </c>
      <c r="O4" s="3">
        <v>9.1512266661333168</v>
      </c>
      <c r="P4" s="3">
        <v>348.31451078991228</v>
      </c>
      <c r="Q4" s="3">
        <v>51.151603066046661</v>
      </c>
      <c r="R4" s="3"/>
      <c r="S4" s="3"/>
      <c r="T4" s="3">
        <v>192.6307615031007</v>
      </c>
      <c r="U4" s="3">
        <v>184.420016316638</v>
      </c>
      <c r="V4" s="3">
        <v>200.8415066895634</v>
      </c>
      <c r="W4" s="3">
        <v>4.1891557073789336</v>
      </c>
      <c r="X4" s="3">
        <v>326.45078247420207</v>
      </c>
      <c r="Y4" s="3">
        <v>224.44841308684821</v>
      </c>
      <c r="Z4" s="3">
        <v>428.45315186155608</v>
      </c>
      <c r="AA4" s="3">
        <v>52.04202519762957</v>
      </c>
      <c r="AB4" s="3">
        <v>246.57</v>
      </c>
      <c r="AC4" s="3">
        <v>33.92886514475871</v>
      </c>
      <c r="AD4" s="3">
        <v>276.58166666666659</v>
      </c>
      <c r="AE4" s="3">
        <v>37.282880583774883</v>
      </c>
      <c r="AF4" s="3">
        <v>138.82</v>
      </c>
      <c r="AG4" s="3">
        <v>37.65536971916314</v>
      </c>
      <c r="AH4" s="3">
        <v>172.63</v>
      </c>
      <c r="AI4" s="3">
        <v>26.151715473792962</v>
      </c>
      <c r="AJ4" s="3">
        <v>217.5878304453162</v>
      </c>
      <c r="AK4" s="3">
        <v>2.8564892751865389E-14</v>
      </c>
    </row>
    <row r="5" spans="1:45" x14ac:dyDescent="0.3">
      <c r="A5" s="3">
        <v>4</v>
      </c>
      <c r="B5" s="3">
        <v>1294.666666666667</v>
      </c>
      <c r="C5" s="3">
        <v>201.99</v>
      </c>
      <c r="D5" s="3">
        <v>158.0971598779505</v>
      </c>
      <c r="E5" s="3">
        <v>245.88284012204949</v>
      </c>
      <c r="F5" s="3">
        <v>22.394306184719131</v>
      </c>
      <c r="G5" s="3">
        <v>201.99</v>
      </c>
      <c r="H5" s="3">
        <v>46.25</v>
      </c>
      <c r="I5" s="3">
        <v>9.0992007641031059</v>
      </c>
      <c r="J5" s="3">
        <v>45.55</v>
      </c>
      <c r="K5" s="3">
        <v>4.6042909279817392</v>
      </c>
      <c r="L5" s="3">
        <v>119.58</v>
      </c>
      <c r="M5" s="3">
        <v>13.252924205623451</v>
      </c>
      <c r="N5" s="3">
        <v>43.7</v>
      </c>
      <c r="O5" s="3">
        <v>6.2206888442494606</v>
      </c>
      <c r="P5" s="3">
        <v>403.11362209816622</v>
      </c>
      <c r="Q5" s="3">
        <v>45.430129817621911</v>
      </c>
      <c r="R5" s="3"/>
      <c r="S5" s="3"/>
      <c r="T5" s="3">
        <v>226.5768703321248</v>
      </c>
      <c r="U5" s="3">
        <v>216.96998847399189</v>
      </c>
      <c r="V5" s="3">
        <v>236.18375219025759</v>
      </c>
      <c r="W5" s="3">
        <v>4.9014703357820686</v>
      </c>
      <c r="X5" s="3">
        <v>370.39296969241769</v>
      </c>
      <c r="Y5" s="3">
        <v>258.48956247015491</v>
      </c>
      <c r="Z5" s="3">
        <v>482.29637691468048</v>
      </c>
      <c r="AA5" s="3">
        <v>57.093575113399403</v>
      </c>
      <c r="AB5" s="3">
        <v>291.67500000000001</v>
      </c>
      <c r="AC5" s="3">
        <v>30.89928450350077</v>
      </c>
      <c r="AD5" s="3">
        <v>336.89833333333343</v>
      </c>
      <c r="AE5" s="3">
        <v>36.486580601271257</v>
      </c>
      <c r="AF5" s="3">
        <v>159.87</v>
      </c>
      <c r="AG5" s="3">
        <v>36.492051161585827</v>
      </c>
      <c r="AH5" s="3">
        <v>201.99</v>
      </c>
      <c r="AI5" s="3">
        <v>22.394306184719131</v>
      </c>
      <c r="AJ5" s="3">
        <v>241.27589224295761</v>
      </c>
      <c r="AK5" s="3">
        <v>8.5694678255596174E-14</v>
      </c>
    </row>
    <row r="6" spans="1:45" x14ac:dyDescent="0.3">
      <c r="A6" s="3">
        <v>5</v>
      </c>
      <c r="B6" s="3">
        <v>1618.333333333333</v>
      </c>
      <c r="C6" s="3">
        <v>228.82</v>
      </c>
      <c r="D6" s="3">
        <v>195.46522029072079</v>
      </c>
      <c r="E6" s="3">
        <v>262.17477970927922</v>
      </c>
      <c r="F6" s="3">
        <v>17.017744749632261</v>
      </c>
      <c r="G6" s="3">
        <v>228.82</v>
      </c>
      <c r="H6" s="3">
        <v>51.34</v>
      </c>
      <c r="I6" s="3">
        <v>8.5033801953972841</v>
      </c>
      <c r="J6" s="3">
        <v>49.33</v>
      </c>
      <c r="K6" s="3">
        <v>3.9976129240972158</v>
      </c>
      <c r="L6" s="3">
        <v>126.73</v>
      </c>
      <c r="M6" s="3">
        <v>11.05893760765929</v>
      </c>
      <c r="N6" s="3">
        <v>46.22</v>
      </c>
      <c r="O6" s="3">
        <v>6.893973359889686</v>
      </c>
      <c r="P6" s="3">
        <v>449.2985701965215</v>
      </c>
      <c r="Q6" s="3">
        <v>36.993979529731007</v>
      </c>
      <c r="R6" s="3"/>
      <c r="S6" s="3"/>
      <c r="T6" s="3">
        <v>256.57470342914547</v>
      </c>
      <c r="U6" s="3">
        <v>246.13487807954431</v>
      </c>
      <c r="V6" s="3">
        <v>267.01452877874681</v>
      </c>
      <c r="W6" s="3">
        <v>5.3264415048986153</v>
      </c>
      <c r="X6" s="3">
        <v>408.2874913436342</v>
      </c>
      <c r="Y6" s="3">
        <v>312.21791061363712</v>
      </c>
      <c r="Z6" s="3">
        <v>504.35707207363129</v>
      </c>
      <c r="AA6" s="3">
        <v>49.015092209182178</v>
      </c>
      <c r="AB6" s="3">
        <v>330.20400000000001</v>
      </c>
      <c r="AC6" s="3">
        <v>23.741179840143161</v>
      </c>
      <c r="AD6" s="3">
        <v>385.44299999999998</v>
      </c>
      <c r="AE6" s="3">
        <v>29.211300929951779</v>
      </c>
      <c r="AF6" s="3">
        <v>183.66</v>
      </c>
      <c r="AG6" s="3">
        <v>38.324562896556579</v>
      </c>
      <c r="AH6" s="3">
        <v>228.82</v>
      </c>
      <c r="AI6" s="3">
        <v>17.017744749632261</v>
      </c>
      <c r="AJ6" s="3">
        <v>259.46839060463259</v>
      </c>
      <c r="AK6" s="3">
        <v>0</v>
      </c>
    </row>
    <row r="7" spans="1:45" x14ac:dyDescent="0.3">
      <c r="A7" s="3">
        <v>6</v>
      </c>
      <c r="B7" s="3">
        <v>1942</v>
      </c>
      <c r="C7" s="3">
        <v>251.02</v>
      </c>
      <c r="D7" s="3">
        <v>220.80059009995281</v>
      </c>
      <c r="E7" s="3">
        <v>281.23940990004718</v>
      </c>
      <c r="F7" s="3">
        <v>15.41806627553429</v>
      </c>
      <c r="G7" s="3">
        <v>251.02</v>
      </c>
      <c r="H7" s="3">
        <v>57.1</v>
      </c>
      <c r="I7" s="3">
        <v>8.6695799299398679</v>
      </c>
      <c r="J7" s="3">
        <v>52.47</v>
      </c>
      <c r="K7" s="3">
        <v>2.9005572435710221</v>
      </c>
      <c r="L7" s="3">
        <v>134.12</v>
      </c>
      <c r="M7" s="3">
        <v>10.754637242707091</v>
      </c>
      <c r="N7" s="3">
        <v>47.63</v>
      </c>
      <c r="O7" s="3">
        <v>7.7167730210617087</v>
      </c>
      <c r="P7" s="3">
        <v>489.97387131547788</v>
      </c>
      <c r="Q7" s="3">
        <v>35.516647943948811</v>
      </c>
      <c r="R7" s="3"/>
      <c r="S7" s="3"/>
      <c r="T7" s="3">
        <v>283.02679077369322</v>
      </c>
      <c r="U7" s="3">
        <v>271.38125503314677</v>
      </c>
      <c r="V7" s="3">
        <v>294.67232651423973</v>
      </c>
      <c r="W7" s="3">
        <v>5.9415998676257429</v>
      </c>
      <c r="X7" s="3">
        <v>446.53611506718562</v>
      </c>
      <c r="Y7" s="3">
        <v>349.10390863826041</v>
      </c>
      <c r="Z7" s="3">
        <v>543.96832149611078</v>
      </c>
      <c r="AA7" s="3">
        <v>49.710309402512863</v>
      </c>
      <c r="AB7" s="3">
        <v>362.78666666666669</v>
      </c>
      <c r="AC7" s="3">
        <v>22.382579004064208</v>
      </c>
      <c r="AD7" s="3">
        <v>426.79733333333343</v>
      </c>
      <c r="AE7" s="3">
        <v>28.140686992715679</v>
      </c>
      <c r="AF7" s="3">
        <v>202.81</v>
      </c>
      <c r="AG7" s="3">
        <v>35.850896330172382</v>
      </c>
      <c r="AH7" s="3">
        <v>251.02</v>
      </c>
      <c r="AI7" s="3">
        <v>15.41806627553429</v>
      </c>
      <c r="AJ7" s="3">
        <v>274.03744416785293</v>
      </c>
      <c r="AK7" s="3">
        <v>0</v>
      </c>
    </row>
    <row r="8" spans="1:45" x14ac:dyDescent="0.3">
      <c r="A8" s="3">
        <v>7</v>
      </c>
      <c r="B8" s="3">
        <v>2265.666666666667</v>
      </c>
      <c r="C8" s="3">
        <v>274.89999999999998</v>
      </c>
      <c r="D8" s="3">
        <v>252.7803222117829</v>
      </c>
      <c r="E8" s="3">
        <v>297.01967778821711</v>
      </c>
      <c r="F8" s="3">
        <v>11.285549891947509</v>
      </c>
      <c r="G8" s="3">
        <v>274.89999999999998</v>
      </c>
      <c r="H8" s="3">
        <v>62.49</v>
      </c>
      <c r="I8" s="3">
        <v>6.4908560391686496</v>
      </c>
      <c r="J8" s="3">
        <v>55.04</v>
      </c>
      <c r="K8" s="3">
        <v>2.9229844994180829</v>
      </c>
      <c r="L8" s="3">
        <v>139</v>
      </c>
      <c r="M8" s="3">
        <v>6.6606033032778917</v>
      </c>
      <c r="N8" s="3">
        <v>54.11</v>
      </c>
      <c r="O8" s="3">
        <v>7.1306636182310283</v>
      </c>
      <c r="P8" s="3">
        <v>531.17159200543767</v>
      </c>
      <c r="Q8" s="3">
        <v>25.296901972744109</v>
      </c>
      <c r="R8" s="3"/>
      <c r="S8" s="3"/>
      <c r="T8" s="3">
        <v>311.04382070740178</v>
      </c>
      <c r="U8" s="3">
        <v>298.19099574992231</v>
      </c>
      <c r="V8" s="3">
        <v>323.89664566488131</v>
      </c>
      <c r="W8" s="3">
        <v>6.5575637538160736</v>
      </c>
      <c r="X8" s="3">
        <v>457.27836198754221</v>
      </c>
      <c r="Y8" s="3">
        <v>398.69613992832751</v>
      </c>
      <c r="Z8" s="3">
        <v>515.86058404675691</v>
      </c>
      <c r="AA8" s="3">
        <v>29.888888805721809</v>
      </c>
      <c r="AB8" s="3">
        <v>394.04285714285709</v>
      </c>
      <c r="AC8" s="3">
        <v>14.657141169421781</v>
      </c>
      <c r="AD8" s="3">
        <v>461.12023809523799</v>
      </c>
      <c r="AE8" s="3">
        <v>17.199743402906211</v>
      </c>
      <c r="AF8" s="3">
        <v>223.44</v>
      </c>
      <c r="AG8" s="3">
        <v>28.18779734551671</v>
      </c>
      <c r="AH8" s="3">
        <v>274.89999999999998</v>
      </c>
      <c r="AI8" s="3">
        <v>11.285549891947509</v>
      </c>
      <c r="AJ8" s="3">
        <v>285.94825920540302</v>
      </c>
      <c r="AK8" s="3">
        <v>0</v>
      </c>
    </row>
    <row r="9" spans="1:45" x14ac:dyDescent="0.3">
      <c r="A9" s="3">
        <v>8</v>
      </c>
      <c r="B9" s="3">
        <v>2589.333333333333</v>
      </c>
      <c r="C9" s="3">
        <v>288.79000000000002</v>
      </c>
      <c r="D9" s="3">
        <v>271.70926025778118</v>
      </c>
      <c r="E9" s="3">
        <v>305.87073974221892</v>
      </c>
      <c r="F9" s="3">
        <v>8.7146631337851233</v>
      </c>
      <c r="G9" s="3">
        <v>288.79000000000002</v>
      </c>
      <c r="H9" s="3">
        <v>63.91</v>
      </c>
      <c r="I9" s="3">
        <v>5.5724702100975154</v>
      </c>
      <c r="J9" s="3">
        <v>57.24</v>
      </c>
      <c r="K9" s="3">
        <v>2.6822273271189072</v>
      </c>
      <c r="L9" s="3">
        <v>139.51</v>
      </c>
      <c r="M9" s="3">
        <v>4.1206427859858188</v>
      </c>
      <c r="N9" s="3">
        <v>58.17</v>
      </c>
      <c r="O9" s="3">
        <v>6.1743277554988314</v>
      </c>
      <c r="P9" s="3">
        <v>551.73606174574149</v>
      </c>
      <c r="Q9" s="3">
        <v>20.759783001491719</v>
      </c>
      <c r="R9" s="3"/>
      <c r="S9" s="3"/>
      <c r="T9" s="3">
        <v>325.01226255894488</v>
      </c>
      <c r="U9" s="3">
        <v>312.28627267656827</v>
      </c>
      <c r="V9" s="3">
        <v>337.73825244132149</v>
      </c>
      <c r="W9" s="3">
        <v>6.4928519808043994</v>
      </c>
      <c r="X9" s="3">
        <v>457.95417544733903</v>
      </c>
      <c r="Y9" s="3">
        <v>428.05598948977399</v>
      </c>
      <c r="Z9" s="3">
        <v>487.852361404904</v>
      </c>
      <c r="AA9" s="3">
        <v>15.254176508961731</v>
      </c>
      <c r="AB9" s="3">
        <v>410.86124999999998</v>
      </c>
      <c r="AC9" s="3">
        <v>10.822064287460099</v>
      </c>
      <c r="AD9" s="3">
        <v>478.09875</v>
      </c>
      <c r="AE9" s="3">
        <v>11.05867610737074</v>
      </c>
      <c r="AF9" s="3">
        <v>233.42</v>
      </c>
      <c r="AG9" s="3">
        <v>24.923389687908699</v>
      </c>
      <c r="AH9" s="3">
        <v>288.79000000000002</v>
      </c>
      <c r="AI9" s="3">
        <v>8.7146631337851233</v>
      </c>
      <c r="AJ9" s="3">
        <v>295.79295609849453</v>
      </c>
      <c r="AK9" s="3">
        <v>0</v>
      </c>
    </row>
    <row r="10" spans="1:45" x14ac:dyDescent="0.3">
      <c r="A10" s="3">
        <v>9</v>
      </c>
      <c r="B10" s="3">
        <v>2913</v>
      </c>
      <c r="C10" s="3">
        <v>304</v>
      </c>
      <c r="D10" s="3">
        <v>304</v>
      </c>
      <c r="E10" s="3">
        <v>304</v>
      </c>
      <c r="F10" s="3">
        <v>0</v>
      </c>
      <c r="G10" s="3">
        <v>304</v>
      </c>
      <c r="H10" s="3">
        <v>67</v>
      </c>
      <c r="I10" s="3">
        <v>0</v>
      </c>
      <c r="J10" s="3">
        <v>59</v>
      </c>
      <c r="K10" s="3">
        <v>0</v>
      </c>
      <c r="L10" s="3">
        <v>141</v>
      </c>
      <c r="M10" s="3">
        <v>0</v>
      </c>
      <c r="N10" s="3">
        <v>64</v>
      </c>
      <c r="O10" s="3">
        <v>0</v>
      </c>
      <c r="P10" s="3">
        <v>578.80563669744072</v>
      </c>
      <c r="Q10" s="3">
        <v>1.1425957100746161E-13</v>
      </c>
      <c r="R10" s="3"/>
      <c r="S10" s="3"/>
      <c r="T10" s="3">
        <v>342.04237288135579</v>
      </c>
      <c r="U10" s="3">
        <v>328.73030465309108</v>
      </c>
      <c r="V10" s="3">
        <v>355.35444110962061</v>
      </c>
      <c r="W10" s="3">
        <v>6.791871545033052</v>
      </c>
      <c r="X10" s="3">
        <v>459.3203125</v>
      </c>
      <c r="Y10" s="3">
        <v>459.3203125</v>
      </c>
      <c r="Z10" s="3">
        <v>459.3203125</v>
      </c>
      <c r="AA10" s="3">
        <v>0</v>
      </c>
      <c r="AB10" s="3">
        <v>429.33333333333343</v>
      </c>
      <c r="AC10" s="3">
        <v>1.1425957100746161E-13</v>
      </c>
      <c r="AD10" s="3">
        <v>495.44444444444451</v>
      </c>
      <c r="AE10" s="3">
        <v>0</v>
      </c>
      <c r="AF10" s="3">
        <v>247.42</v>
      </c>
      <c r="AG10" s="3">
        <v>26.491538576715701</v>
      </c>
      <c r="AH10" s="3">
        <v>304</v>
      </c>
      <c r="AI10" s="3">
        <v>0</v>
      </c>
      <c r="AJ10" s="3">
        <v>304</v>
      </c>
      <c r="AK10" s="3">
        <v>0</v>
      </c>
    </row>
    <row r="18" spans="11:18" ht="43.2" x14ac:dyDescent="0.3">
      <c r="K18" s="2" t="s">
        <v>2</v>
      </c>
      <c r="L18" s="2" t="s">
        <v>8</v>
      </c>
      <c r="M18" s="2" t="s">
        <v>19</v>
      </c>
      <c r="N18" s="2" t="s">
        <v>27</v>
      </c>
      <c r="O18" s="2" t="s">
        <v>29</v>
      </c>
      <c r="P18" s="2" t="s">
        <v>31</v>
      </c>
      <c r="Q18" s="2" t="s">
        <v>33</v>
      </c>
      <c r="R18" s="2" t="s">
        <v>23</v>
      </c>
    </row>
    <row r="19" spans="11:18" x14ac:dyDescent="0.3"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1:18" x14ac:dyDescent="0.3">
      <c r="K20" s="3">
        <v>85.87</v>
      </c>
      <c r="L20" s="3">
        <v>10.23197602290649</v>
      </c>
      <c r="M20" s="3">
        <v>94.991917835454018</v>
      </c>
      <c r="N20" s="3">
        <v>85.87</v>
      </c>
      <c r="O20" s="3">
        <v>85.87</v>
      </c>
      <c r="P20" s="3">
        <v>85.87</v>
      </c>
      <c r="Q20" s="3">
        <v>85.87</v>
      </c>
      <c r="R20" s="3">
        <v>4311.7299999999996</v>
      </c>
    </row>
    <row r="21" spans="11:18" x14ac:dyDescent="0.3">
      <c r="K21" s="3">
        <v>136.46</v>
      </c>
      <c r="L21" s="3">
        <v>9.9314570121326291</v>
      </c>
      <c r="M21" s="3">
        <v>152.12039678213731</v>
      </c>
      <c r="N21" s="3">
        <v>188.935</v>
      </c>
      <c r="O21" s="3">
        <v>188.935</v>
      </c>
      <c r="P21" s="3">
        <v>108.03</v>
      </c>
      <c r="Q21" s="3">
        <v>136.46</v>
      </c>
      <c r="R21" s="3">
        <v>399.42877757362561</v>
      </c>
    </row>
    <row r="22" spans="11:18" x14ac:dyDescent="0.3">
      <c r="K22" s="3">
        <v>172.63</v>
      </c>
      <c r="L22" s="3">
        <v>9.6523980377307215</v>
      </c>
      <c r="M22" s="3">
        <v>192.6307615031007</v>
      </c>
      <c r="N22" s="3">
        <v>246.57</v>
      </c>
      <c r="O22" s="3">
        <v>276.58166666666659</v>
      </c>
      <c r="P22" s="3">
        <v>138.82</v>
      </c>
      <c r="Q22" s="3">
        <v>172.63</v>
      </c>
      <c r="R22" s="3">
        <v>326.45078247420207</v>
      </c>
    </row>
    <row r="23" spans="11:18" x14ac:dyDescent="0.3">
      <c r="K23" s="3">
        <v>201.99</v>
      </c>
      <c r="L23" s="3">
        <v>9.0992007641031059</v>
      </c>
      <c r="M23" s="3">
        <v>226.5768703321248</v>
      </c>
      <c r="N23" s="3">
        <v>291.67500000000001</v>
      </c>
      <c r="O23" s="3">
        <v>336.89833333333343</v>
      </c>
      <c r="P23" s="3">
        <v>159.87</v>
      </c>
      <c r="Q23" s="3">
        <v>201.99</v>
      </c>
      <c r="R23" s="3">
        <v>370.39296969241769</v>
      </c>
    </row>
    <row r="24" spans="11:18" x14ac:dyDescent="0.3">
      <c r="K24" s="3">
        <v>228.82</v>
      </c>
      <c r="L24" s="3">
        <v>8.5033801953972841</v>
      </c>
      <c r="M24" s="3">
        <v>256.57470342914547</v>
      </c>
      <c r="N24" s="3">
        <v>330.20400000000001</v>
      </c>
      <c r="O24" s="3">
        <v>385.44299999999998</v>
      </c>
      <c r="P24" s="3">
        <v>183.66</v>
      </c>
      <c r="Q24" s="3">
        <v>228.82</v>
      </c>
      <c r="R24" s="3">
        <v>408.2874913436342</v>
      </c>
    </row>
    <row r="25" spans="11:18" x14ac:dyDescent="0.3">
      <c r="K25" s="3">
        <v>251.02</v>
      </c>
      <c r="L25" s="3">
        <v>8.6695799299398679</v>
      </c>
      <c r="M25" s="3">
        <v>283.02679077369322</v>
      </c>
      <c r="N25" s="3">
        <v>362.78666666666669</v>
      </c>
      <c r="O25" s="3">
        <v>426.79733333333343</v>
      </c>
      <c r="P25" s="3">
        <v>202.81</v>
      </c>
      <c r="Q25" s="3">
        <v>251.02</v>
      </c>
      <c r="R25" s="3">
        <v>446.53611506718562</v>
      </c>
    </row>
    <row r="26" spans="11:18" x14ac:dyDescent="0.3">
      <c r="K26" s="3">
        <v>274.89999999999998</v>
      </c>
      <c r="L26" s="3">
        <v>6.4908560391686496</v>
      </c>
      <c r="M26" s="3">
        <v>311.04382070740178</v>
      </c>
      <c r="N26" s="3">
        <v>394.04285714285709</v>
      </c>
      <c r="O26" s="3">
        <v>461.12023809523799</v>
      </c>
      <c r="P26" s="3">
        <v>223.44</v>
      </c>
      <c r="Q26" s="3">
        <v>274.89999999999998</v>
      </c>
      <c r="R26" s="3">
        <v>457.27836198754221</v>
      </c>
    </row>
    <row r="27" spans="11:18" x14ac:dyDescent="0.3">
      <c r="K27" s="3">
        <v>288.79000000000002</v>
      </c>
      <c r="L27" s="3">
        <v>5.5724702100975154</v>
      </c>
      <c r="M27" s="3">
        <v>325.01226255894488</v>
      </c>
      <c r="N27" s="3">
        <v>410.86124999999998</v>
      </c>
      <c r="O27" s="3">
        <v>478.09875</v>
      </c>
      <c r="P27" s="3">
        <v>233.42</v>
      </c>
      <c r="Q27" s="3">
        <v>288.79000000000002</v>
      </c>
      <c r="R27" s="3">
        <v>457.95417544733903</v>
      </c>
    </row>
    <row r="28" spans="11:18" x14ac:dyDescent="0.3">
      <c r="K28" s="3">
        <v>304</v>
      </c>
      <c r="L28" s="3">
        <v>0</v>
      </c>
      <c r="M28" s="3">
        <v>342.04237288135579</v>
      </c>
      <c r="N28" s="3">
        <v>429.33333333333343</v>
      </c>
      <c r="O28" s="3">
        <v>495.44444444444451</v>
      </c>
      <c r="P28" s="3">
        <v>247.42</v>
      </c>
      <c r="Q28" s="3">
        <v>304</v>
      </c>
      <c r="R28" s="3">
        <v>459.3203125</v>
      </c>
    </row>
    <row r="31" spans="11:18" x14ac:dyDescent="0.3">
      <c r="M31">
        <f>(100/M28)*(K28)</f>
        <v>88.877877158643273</v>
      </c>
      <c r="N31">
        <f>(100/N28)*(K28)</f>
        <v>70.807453416149045</v>
      </c>
      <c r="O31">
        <f>(100/O28)*(K28)</f>
        <v>61.359049114151148</v>
      </c>
      <c r="P31">
        <f>(100/P28)*(K28)</f>
        <v>122.86799773664215</v>
      </c>
      <c r="Q31">
        <f>(100/Q28)*(K28)</f>
        <v>100</v>
      </c>
      <c r="R31">
        <f>(100/R28)*(K28)</f>
        <v>66.184749885190413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ramirez gil</cp:lastModifiedBy>
  <dcterms:created xsi:type="dcterms:W3CDTF">2025-11-07T22:09:24Z</dcterms:created>
  <dcterms:modified xsi:type="dcterms:W3CDTF">2025-11-07T22:39:23Z</dcterms:modified>
</cp:coreProperties>
</file>